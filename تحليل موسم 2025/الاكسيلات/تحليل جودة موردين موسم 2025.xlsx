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تحليل موسم 2025\"/>
    </mc:Choice>
  </mc:AlternateContent>
  <xr:revisionPtr revIDLastSave="0" documentId="13_ncr:1_{2DBD4ED0-0508-4BC0-B6B7-631F2EF7387D}" xr6:coauthVersionLast="47" xr6:coauthVersionMax="47" xr10:uidLastSave="{00000000-0000-0000-0000-000000000000}"/>
  <workbookProtection lockStructure="1"/>
  <bookViews>
    <workbookView xWindow="-120" yWindow="-120" windowWidth="29040" windowHeight="15720" xr2:uid="{06921790-E451-4A5A-9F73-FF5A0819A9C4}"/>
  </bookViews>
  <sheets>
    <sheet name="تقيم اداء الموردين" sheetId="2" r:id="rId1"/>
    <sheet name="نسب وكميات المواصفات" sheetId="6" r:id="rId2"/>
    <sheet name="نسب و كميات كل مواصفة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" i="7" l="1"/>
  <c r="K20" i="7"/>
  <c r="M20" i="7"/>
  <c r="O20" i="7"/>
  <c r="Q20" i="7"/>
  <c r="S20" i="7"/>
  <c r="U20" i="7"/>
  <c r="G20" i="7"/>
  <c r="U6" i="6"/>
  <c r="U7" i="6"/>
  <c r="U8" i="6"/>
  <c r="U9" i="6"/>
  <c r="U10" i="6"/>
  <c r="U11" i="6"/>
  <c r="U12" i="6"/>
  <c r="U13" i="6"/>
  <c r="U14" i="6"/>
  <c r="U15" i="6"/>
  <c r="U16" i="6"/>
  <c r="U17" i="6"/>
  <c r="S6" i="6"/>
  <c r="S7" i="6"/>
  <c r="S8" i="6"/>
  <c r="S9" i="6"/>
  <c r="S10" i="6"/>
  <c r="S11" i="6"/>
  <c r="S12" i="6"/>
  <c r="S13" i="6"/>
  <c r="S14" i="6"/>
  <c r="S15" i="6"/>
  <c r="S16" i="6"/>
  <c r="S17" i="6"/>
  <c r="Q6" i="6"/>
  <c r="Q7" i="6"/>
  <c r="Q8" i="6"/>
  <c r="Q9" i="6"/>
  <c r="Q10" i="6"/>
  <c r="Q11" i="6"/>
  <c r="Q12" i="6"/>
  <c r="Q13" i="6"/>
  <c r="Q14" i="6"/>
  <c r="Q15" i="6"/>
  <c r="Q16" i="6"/>
  <c r="Q17" i="6"/>
  <c r="O6" i="6"/>
  <c r="O7" i="6"/>
  <c r="O8" i="6"/>
  <c r="O9" i="6"/>
  <c r="O10" i="6"/>
  <c r="O11" i="6"/>
  <c r="O12" i="6"/>
  <c r="O13" i="6"/>
  <c r="O14" i="6"/>
  <c r="O15" i="6"/>
  <c r="O16" i="6"/>
  <c r="O17" i="6"/>
  <c r="M6" i="6"/>
  <c r="M7" i="6"/>
  <c r="M8" i="6"/>
  <c r="M9" i="6"/>
  <c r="M10" i="6"/>
  <c r="M11" i="6"/>
  <c r="M12" i="6"/>
  <c r="M13" i="6"/>
  <c r="M14" i="6"/>
  <c r="M15" i="6"/>
  <c r="M16" i="6"/>
  <c r="M17" i="6"/>
  <c r="K6" i="6"/>
  <c r="K7" i="6"/>
  <c r="K8" i="6"/>
  <c r="K9" i="6"/>
  <c r="K10" i="6"/>
  <c r="K11" i="6"/>
  <c r="K12" i="6"/>
  <c r="K13" i="6"/>
  <c r="K14" i="6"/>
  <c r="K15" i="6"/>
  <c r="K16" i="6"/>
  <c r="K17" i="6"/>
  <c r="I9" i="6"/>
  <c r="I6" i="6"/>
  <c r="I7" i="6"/>
  <c r="I8" i="6"/>
  <c r="I10" i="6"/>
  <c r="I11" i="6"/>
  <c r="I12" i="6"/>
  <c r="I13" i="6"/>
  <c r="I14" i="6"/>
  <c r="I15" i="6"/>
  <c r="I16" i="6"/>
  <c r="I17" i="6"/>
  <c r="K7" i="2"/>
  <c r="K17" i="2"/>
  <c r="K14" i="2"/>
  <c r="K16" i="2"/>
  <c r="K10" i="2"/>
  <c r="K15" i="2"/>
  <c r="K11" i="2"/>
  <c r="K12" i="2"/>
  <c r="K13" i="2"/>
  <c r="K8" i="2"/>
  <c r="K9" i="2"/>
  <c r="K6" i="2"/>
  <c r="I7" i="2"/>
  <c r="I17" i="2"/>
  <c r="I14" i="2"/>
  <c r="I16" i="2"/>
  <c r="I10" i="2"/>
  <c r="I15" i="2"/>
  <c r="I11" i="2"/>
  <c r="I12" i="2"/>
  <c r="I13" i="2"/>
  <c r="I8" i="2"/>
  <c r="I9" i="2"/>
  <c r="I6" i="2"/>
  <c r="T7" i="7" l="1"/>
  <c r="T16" i="7"/>
  <c r="R9" i="7"/>
  <c r="R13" i="7"/>
  <c r="R17" i="7"/>
  <c r="P12" i="7"/>
  <c r="N9" i="7"/>
  <c r="N16" i="7"/>
  <c r="L11" i="7"/>
  <c r="J7" i="7"/>
  <c r="J13" i="7"/>
  <c r="J6" i="7"/>
  <c r="H13" i="7"/>
  <c r="T8" i="7"/>
  <c r="T15" i="7"/>
  <c r="R7" i="7"/>
  <c r="R12" i="7"/>
  <c r="R16" i="7"/>
  <c r="P10" i="7"/>
  <c r="P15" i="7"/>
  <c r="N11" i="7"/>
  <c r="L12" i="7"/>
  <c r="L6" i="7"/>
  <c r="J14" i="7"/>
  <c r="H10" i="7"/>
  <c r="T9" i="7"/>
  <c r="R10" i="7"/>
  <c r="P9" i="7"/>
  <c r="P16" i="7"/>
  <c r="N10" i="7"/>
  <c r="N17" i="7"/>
  <c r="L10" i="7"/>
  <c r="L15" i="7"/>
  <c r="J10" i="7"/>
  <c r="J15" i="7"/>
  <c r="H9" i="7"/>
  <c r="H15" i="7"/>
  <c r="T10" i="7"/>
  <c r="P8" i="7"/>
  <c r="N8" i="7"/>
  <c r="N15" i="7"/>
  <c r="L8" i="7"/>
  <c r="L16" i="7"/>
  <c r="J11" i="7"/>
  <c r="H7" i="7"/>
  <c r="H16" i="7"/>
  <c r="T12" i="7"/>
  <c r="T14" i="7"/>
  <c r="T6" i="7"/>
  <c r="R11" i="7"/>
  <c r="P7" i="7"/>
  <c r="P14" i="7"/>
  <c r="P6" i="7"/>
  <c r="N12" i="7"/>
  <c r="N6" i="7"/>
  <c r="L14" i="7"/>
  <c r="J9" i="7"/>
  <c r="J16" i="7"/>
  <c r="H11" i="7"/>
  <c r="H17" i="7"/>
  <c r="T11" i="7"/>
  <c r="T17" i="7"/>
  <c r="R8" i="7"/>
  <c r="R14" i="7"/>
  <c r="R6" i="7"/>
  <c r="P13" i="7"/>
  <c r="N7" i="7"/>
  <c r="N13" i="7"/>
  <c r="L7" i="7"/>
  <c r="L13" i="7"/>
  <c r="J8" i="7"/>
  <c r="J17" i="7"/>
  <c r="H12" i="7"/>
  <c r="H6" i="7"/>
  <c r="T13" i="7"/>
  <c r="R15" i="7"/>
  <c r="P11" i="7"/>
  <c r="P17" i="7"/>
  <c r="N14" i="7"/>
  <c r="L9" i="7"/>
  <c r="L17" i="7"/>
  <c r="J12" i="7"/>
  <c r="H8" i="7"/>
  <c r="H14" i="7"/>
  <c r="R20" i="7"/>
  <c r="P20" i="7"/>
  <c r="J20" i="7"/>
  <c r="H20" i="7"/>
  <c r="L20" i="7" l="1"/>
  <c r="N20" i="7"/>
  <c r="T2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6D6727-6E66-4A40-BC0C-3CFE3BC7C2B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<sst xmlns="http://schemas.openxmlformats.org/spreadsheetml/2006/main" count="119" uniqueCount="50">
  <si>
    <t>S_ID</t>
  </si>
  <si>
    <t>Lehaa_EX</t>
  </si>
  <si>
    <t>S12</t>
  </si>
  <si>
    <t>S01</t>
  </si>
  <si>
    <t>S02</t>
  </si>
  <si>
    <t>S03</t>
  </si>
  <si>
    <t>El_Gendy_EX</t>
  </si>
  <si>
    <t>S04</t>
  </si>
  <si>
    <t>El_Gewshy_EX</t>
  </si>
  <si>
    <t>S05</t>
  </si>
  <si>
    <t>El_Maleka_EX</t>
  </si>
  <si>
    <t>S06</t>
  </si>
  <si>
    <t>El_Maha_EX</t>
  </si>
  <si>
    <t>S07</t>
  </si>
  <si>
    <t>Strick_EX</t>
  </si>
  <si>
    <t>S08</t>
  </si>
  <si>
    <t>Shahd_EX</t>
  </si>
  <si>
    <t>S09</t>
  </si>
  <si>
    <t>PalmEgypt_EX</t>
  </si>
  <si>
    <t>S10</t>
  </si>
  <si>
    <t>Segam1_EX</t>
  </si>
  <si>
    <t>S11</t>
  </si>
  <si>
    <t>Segam2_EX</t>
  </si>
  <si>
    <t>S_Name</t>
  </si>
  <si>
    <t>Raw_1</t>
  </si>
  <si>
    <t>Raw_2</t>
  </si>
  <si>
    <t>Total_QTY(kg)</t>
  </si>
  <si>
    <t>High_Quality_QTY</t>
  </si>
  <si>
    <t>High_Quality_%</t>
  </si>
  <si>
    <t>Low_Quality_QTY</t>
  </si>
  <si>
    <t>Low_Quality_%</t>
  </si>
  <si>
    <t>تقييم_أداء_الموردين_والجودة</t>
  </si>
  <si>
    <t>Season</t>
  </si>
  <si>
    <t>Premium_QTY</t>
  </si>
  <si>
    <t>Premium_%</t>
  </si>
  <si>
    <t>Delight_QTY</t>
  </si>
  <si>
    <t>Delight_%</t>
  </si>
  <si>
    <t>Classic_QTY</t>
  </si>
  <si>
    <t>Classic_%</t>
  </si>
  <si>
    <t>G4_QTY</t>
  </si>
  <si>
    <t>G4_%</t>
  </si>
  <si>
    <t>Golden_Crowen_QTY</t>
  </si>
  <si>
    <t>Golden_Crowen_%</t>
  </si>
  <si>
    <t>Baby_Small_QTY</t>
  </si>
  <si>
    <t>Baby_Small_%</t>
  </si>
  <si>
    <t>Bon_Bon_QTY</t>
  </si>
  <si>
    <t>Bon_Bon_%</t>
  </si>
  <si>
    <t>نسب و كميات كل مواصفة من العقد</t>
  </si>
  <si>
    <t>Total QTY</t>
  </si>
  <si>
    <t>نسب كل مواصفة من اجمالي المواصفة في الكمية الكلية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</si>
</sst>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0" borderId="5" xfId="1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3" fontId="3" fillId="0" borderId="7" xfId="0" applyNumberFormat="1" applyFont="1" applyBorder="1" applyAlignment="1">
      <alignment vertical="center"/>
    </xf>
    <xf numFmtId="164" fontId="3" fillId="0" borderId="7" xfId="1" applyNumberFormat="1" applyFont="1" applyBorder="1" applyAlignment="1">
      <alignment vertical="center"/>
    </xf>
    <xf numFmtId="164" fontId="3" fillId="0" borderId="8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6" fillId="2" borderId="0" xfId="0" applyNumberFormat="1" applyFont="1" applyFill="1" applyAlignment="1">
      <alignment horizontal="center" vertical="center"/>
    </xf>
    <xf numFmtId="9" fontId="6" fillId="2" borderId="0" xfId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9"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Supplier Quality Composition Analysis (2025)</a:t>
            </a:r>
            <a:endParaRPr lang="en-US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'تقيم اداء الموردين'!$I$5</c:f>
              <c:strCache>
                <c:ptCount val="1"/>
                <c:pt idx="0">
                  <c:v>High_Quality_%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'تقيم اداء الموردين'!$F$6:$F$17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'تقيم اداء الموردين'!$I$6:$I$17</c:f>
              <c:numCache>
                <c:formatCode>0.0%</c:formatCode>
                <c:ptCount val="12"/>
                <c:pt idx="0">
                  <c:v>0.73381296425196407</c:v>
                </c:pt>
                <c:pt idx="1">
                  <c:v>0.6413823320006572</c:v>
                </c:pt>
                <c:pt idx="2">
                  <c:v>0.79710144927536219</c:v>
                </c:pt>
                <c:pt idx="3">
                  <c:v>9.8631909779996307E-2</c:v>
                </c:pt>
                <c:pt idx="4">
                  <c:v>0.55473071324599699</c:v>
                </c:pt>
                <c:pt idx="5">
                  <c:v>0.66478044363965594</c:v>
                </c:pt>
                <c:pt idx="6">
                  <c:v>0.73553719008264462</c:v>
                </c:pt>
                <c:pt idx="7">
                  <c:v>1</c:v>
                </c:pt>
                <c:pt idx="8">
                  <c:v>0.66148325358851678</c:v>
                </c:pt>
                <c:pt idx="9">
                  <c:v>0.72807991120976689</c:v>
                </c:pt>
                <c:pt idx="10">
                  <c:v>0.79577464788732399</c:v>
                </c:pt>
                <c:pt idx="11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7-4E98-A8D9-9C8E4B759D61}"/>
            </c:ext>
          </c:extLst>
        </c:ser>
        <c:ser>
          <c:idx val="1"/>
          <c:order val="1"/>
          <c:tx>
            <c:strRef>
              <c:f>'تقيم اداء الموردين'!$K$5</c:f>
              <c:strCache>
                <c:ptCount val="1"/>
                <c:pt idx="0">
                  <c:v>Low_Quality_%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cat>
            <c:strRef>
              <c:f>'تقيم اداء الموردين'!$F$6:$F$17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'تقيم اداء الموردين'!$K$6:$K$17</c:f>
              <c:numCache>
                <c:formatCode>0.0%</c:formatCode>
                <c:ptCount val="12"/>
                <c:pt idx="0">
                  <c:v>0.26618703574803587</c:v>
                </c:pt>
                <c:pt idx="1">
                  <c:v>0.33813461854427951</c:v>
                </c:pt>
                <c:pt idx="2">
                  <c:v>0.20289855072463769</c:v>
                </c:pt>
                <c:pt idx="3">
                  <c:v>0.90136809022000375</c:v>
                </c:pt>
                <c:pt idx="4">
                  <c:v>0.4452692867540029</c:v>
                </c:pt>
                <c:pt idx="5">
                  <c:v>0.33521955636034406</c:v>
                </c:pt>
                <c:pt idx="6">
                  <c:v>0.26446280991735538</c:v>
                </c:pt>
                <c:pt idx="7">
                  <c:v>0</c:v>
                </c:pt>
                <c:pt idx="8">
                  <c:v>0.33851674641148327</c:v>
                </c:pt>
                <c:pt idx="9">
                  <c:v>0.27192008879023305</c:v>
                </c:pt>
                <c:pt idx="10">
                  <c:v>0.20422535211267606</c:v>
                </c:pt>
                <c:pt idx="1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7-4E98-A8D9-9C8E4B75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1439007"/>
        <c:axId val="291453887"/>
      </c:barChart>
      <c:catAx>
        <c:axId val="29143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53887"/>
        <c:crosses val="autoZero"/>
        <c:auto val="1"/>
        <c:lblAlgn val="ctr"/>
        <c:lblOffset val="100"/>
        <c:noMultiLvlLbl val="0"/>
      </c:catAx>
      <c:valAx>
        <c:axId val="29145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3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 dirty="0">
                <a:solidFill>
                  <a:schemeClr val="tx1"/>
                </a:solidFill>
                <a:latin typeface="Cambria" pitchFamily="34" charset="0"/>
                <a:ea typeface="Cambria" pitchFamily="34" charset="-122"/>
                <a:cs typeface="Cambria" pitchFamily="34" charset="-120"/>
              </a:rPr>
              <a:t>توزيع المواصفات لكل </a:t>
            </a:r>
            <a:r>
              <a:rPr lang="en-US" sz="2000" b="1" baseline="0" dirty="0" err="1">
                <a:solidFill>
                  <a:schemeClr val="tx1"/>
                </a:solidFill>
                <a:latin typeface="Cambria" pitchFamily="34" charset="0"/>
                <a:ea typeface="Cambria" pitchFamily="34" charset="-122"/>
                <a:cs typeface="Cambria" pitchFamily="34" charset="-120"/>
              </a:rPr>
              <a:t>مورد</a:t>
            </a:r>
            <a:r>
              <a:rPr lang="en-US" sz="2000" b="1" baseline="0" dirty="0">
                <a:solidFill>
                  <a:schemeClr val="tx1"/>
                </a:solidFill>
                <a:latin typeface="Cambria" pitchFamily="34" charset="0"/>
                <a:ea typeface="Cambria" pitchFamily="34" charset="-122"/>
                <a:cs typeface="Cambria" pitchFamily="34" charset="-120"/>
              </a:rPr>
              <a:t> —</a:t>
            </a:r>
            <a:r>
              <a:rPr lang="ar-EG" sz="2000" b="1" baseline="0" dirty="0">
                <a:solidFill>
                  <a:schemeClr val="tx1"/>
                </a:solidFill>
                <a:latin typeface="Cambria" pitchFamily="34" charset="0"/>
                <a:ea typeface="Cambria" pitchFamily="34" charset="-122"/>
                <a:cs typeface="Cambria" pitchFamily="34" charset="-120"/>
              </a:rPr>
              <a:t> </a:t>
            </a:r>
            <a:r>
              <a:rPr lang="en-US" sz="2000" b="1" baseline="0" dirty="0">
                <a:solidFill>
                  <a:schemeClr val="tx1"/>
                </a:solidFill>
                <a:latin typeface="Cambria" pitchFamily="34" charset="0"/>
                <a:ea typeface="Cambria" pitchFamily="34" charset="-122"/>
                <a:cs typeface="Cambria" pitchFamily="34" charset="-120"/>
              </a:rPr>
              <a:t> نسبة مئوية</a:t>
            </a:r>
            <a:endParaRPr lang="en-US" sz="2000" baseline="0" dirty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'نسب وكميات المواصفات'!$I$5</c:f>
              <c:strCache>
                <c:ptCount val="1"/>
                <c:pt idx="0">
                  <c:v>Premium_%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المواصفات'!$I$6:$I$17</c:f>
              <c:numCache>
                <c:formatCode>0.00%</c:formatCode>
                <c:ptCount val="12"/>
                <c:pt idx="0">
                  <c:v>0.50560611674494327</c:v>
                </c:pt>
                <c:pt idx="1">
                  <c:v>0.39328550303959692</c:v>
                </c:pt>
                <c:pt idx="2">
                  <c:v>0.53623188405797095</c:v>
                </c:pt>
                <c:pt idx="3">
                  <c:v>4.0672952486596418E-3</c:v>
                </c:pt>
                <c:pt idx="4">
                  <c:v>0.23027656477438135</c:v>
                </c:pt>
                <c:pt idx="5">
                  <c:v>0.36487098234495247</c:v>
                </c:pt>
                <c:pt idx="6">
                  <c:v>0.20661157024793386</c:v>
                </c:pt>
                <c:pt idx="7">
                  <c:v>1</c:v>
                </c:pt>
                <c:pt idx="8">
                  <c:v>0.35287081339712917</c:v>
                </c:pt>
                <c:pt idx="9">
                  <c:v>0.47280799112097671</c:v>
                </c:pt>
                <c:pt idx="10">
                  <c:v>0.45305164319248825</c:v>
                </c:pt>
                <c:pt idx="11">
                  <c:v>0.43896103896103894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C-4A2A-AE15-78CCE5A44591}"/>
            </c:ext>
          </c:extLst>
        </c:ser>
        <c:ser>
          <c:idx val="1"/>
          <c:order val="1"/>
          <c:tx>
            <c:strRef>
              <c:f>'نسب وكميات المواصفات'!$K$5</c:f>
              <c:strCache>
                <c:ptCount val="1"/>
                <c:pt idx="0">
                  <c:v>Delight_%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المواصفات'!$K$6:$K$17</c:f>
              <c:numCache>
                <c:formatCode>0.00%</c:formatCode>
                <c:ptCount val="12"/>
                <c:pt idx="0">
                  <c:v>0.2282068475070208</c:v>
                </c:pt>
                <c:pt idx="1">
                  <c:v>0.24809682896106031</c:v>
                </c:pt>
                <c:pt idx="2">
                  <c:v>0.2608695652173913</c:v>
                </c:pt>
                <c:pt idx="3">
                  <c:v>9.456461453133666E-2</c:v>
                </c:pt>
                <c:pt idx="4">
                  <c:v>0.32445414847161569</c:v>
                </c:pt>
                <c:pt idx="5">
                  <c:v>0.29990946129470347</c:v>
                </c:pt>
                <c:pt idx="6">
                  <c:v>0.52892561983471076</c:v>
                </c:pt>
                <c:pt idx="7">
                  <c:v>0</c:v>
                </c:pt>
                <c:pt idx="8">
                  <c:v>0.30861244019138756</c:v>
                </c:pt>
                <c:pt idx="9">
                  <c:v>0.25527192008879024</c:v>
                </c:pt>
                <c:pt idx="10">
                  <c:v>0.34272300469483574</c:v>
                </c:pt>
                <c:pt idx="11">
                  <c:v>0.27532467532467531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C-4A2A-AE15-78CCE5A44591}"/>
            </c:ext>
          </c:extLst>
        </c:ser>
        <c:ser>
          <c:idx val="2"/>
          <c:order val="2"/>
          <c:tx>
            <c:strRef>
              <c:f>'نسب وكميات المواصفات'!$M$5</c:f>
              <c:strCache>
                <c:ptCount val="1"/>
                <c:pt idx="0">
                  <c:v>Classic_%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المواصفات'!$M$6:$M$17</c:f>
              <c:numCache>
                <c:formatCode>0.00%</c:formatCode>
                <c:ptCount val="12"/>
                <c:pt idx="0">
                  <c:v>0.20252897181781487</c:v>
                </c:pt>
                <c:pt idx="1">
                  <c:v>0.11955747850375158</c:v>
                </c:pt>
                <c:pt idx="2">
                  <c:v>0</c:v>
                </c:pt>
                <c:pt idx="3">
                  <c:v>0.1641708264004437</c:v>
                </c:pt>
                <c:pt idx="4">
                  <c:v>0.18224163027656479</c:v>
                </c:pt>
                <c:pt idx="5">
                  <c:v>5.8397464916251696E-2</c:v>
                </c:pt>
                <c:pt idx="6">
                  <c:v>0</c:v>
                </c:pt>
                <c:pt idx="7">
                  <c:v>0</c:v>
                </c:pt>
                <c:pt idx="8">
                  <c:v>4.0669856459330141E-2</c:v>
                </c:pt>
                <c:pt idx="9">
                  <c:v>4.3285238623751388E-2</c:v>
                </c:pt>
                <c:pt idx="10">
                  <c:v>5.39906103286385E-2</c:v>
                </c:pt>
                <c:pt idx="11">
                  <c:v>5.7142857142857141E-2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7C-4A2A-AE15-78CCE5A44591}"/>
            </c:ext>
          </c:extLst>
        </c:ser>
        <c:ser>
          <c:idx val="3"/>
          <c:order val="3"/>
          <c:tx>
            <c:strRef>
              <c:f>'نسب وكميات المواصفات'!$O$5</c:f>
              <c:strCache>
                <c:ptCount val="1"/>
                <c:pt idx="0">
                  <c:v>G4_%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المواصفات'!$O$6:$O$17</c:f>
              <c:numCache>
                <c:formatCode>0.00%</c:formatCode>
                <c:ptCount val="12"/>
                <c:pt idx="0">
                  <c:v>2.2196179993901128E-2</c:v>
                </c:pt>
                <c:pt idx="1">
                  <c:v>8.6532668820855474E-2</c:v>
                </c:pt>
                <c:pt idx="2">
                  <c:v>0.20289855072463769</c:v>
                </c:pt>
                <c:pt idx="3">
                  <c:v>0.60177481974486968</c:v>
                </c:pt>
                <c:pt idx="4">
                  <c:v>0.14497816593886462</c:v>
                </c:pt>
                <c:pt idx="5">
                  <c:v>7.3110004526935266E-2</c:v>
                </c:pt>
                <c:pt idx="6">
                  <c:v>0.26446280991735538</c:v>
                </c:pt>
                <c:pt idx="7">
                  <c:v>0</c:v>
                </c:pt>
                <c:pt idx="8">
                  <c:v>0.19258373205741627</c:v>
                </c:pt>
                <c:pt idx="9">
                  <c:v>3.4406215316315207E-2</c:v>
                </c:pt>
                <c:pt idx="10">
                  <c:v>0.10563380281690141</c:v>
                </c:pt>
                <c:pt idx="11">
                  <c:v>1.2987012987012988E-2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7C-4A2A-AE15-78CCE5A44591}"/>
            </c:ext>
          </c:extLst>
        </c:ser>
        <c:ser>
          <c:idx val="4"/>
          <c:order val="4"/>
          <c:tx>
            <c:strRef>
              <c:f>'نسب وكميات المواصفات'!$Q$5</c:f>
              <c:strCache>
                <c:ptCount val="1"/>
                <c:pt idx="0">
                  <c:v>Golden_Crowen_%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المواصفات'!$Q$6:$Q$17</c:f>
              <c:numCache>
                <c:formatCode>0.00%</c:formatCode>
                <c:ptCount val="12"/>
                <c:pt idx="0">
                  <c:v>2.820220516872143E-2</c:v>
                </c:pt>
                <c:pt idx="1">
                  <c:v>8.6532668820855474E-2</c:v>
                </c:pt>
                <c:pt idx="2">
                  <c:v>0</c:v>
                </c:pt>
                <c:pt idx="3">
                  <c:v>0.13440562026252542</c:v>
                </c:pt>
                <c:pt idx="4">
                  <c:v>0.1141193595342067</c:v>
                </c:pt>
                <c:pt idx="5">
                  <c:v>0.1482571299230421</c:v>
                </c:pt>
                <c:pt idx="6">
                  <c:v>0</c:v>
                </c:pt>
                <c:pt idx="7">
                  <c:v>0</c:v>
                </c:pt>
                <c:pt idx="8">
                  <c:v>7.1172248803827748E-2</c:v>
                </c:pt>
                <c:pt idx="9">
                  <c:v>0.16759156492785793</c:v>
                </c:pt>
                <c:pt idx="10">
                  <c:v>3.9906103286384977E-2</c:v>
                </c:pt>
                <c:pt idx="11">
                  <c:v>0.17402597402597403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7C-4A2A-AE15-78CCE5A44591}"/>
            </c:ext>
          </c:extLst>
        </c:ser>
        <c:ser>
          <c:idx val="5"/>
          <c:order val="5"/>
          <c:tx>
            <c:strRef>
              <c:f>'نسب وكميات المواصفات'!$S$5</c:f>
              <c:strCache>
                <c:ptCount val="1"/>
                <c:pt idx="0">
                  <c:v>Baby_Small_%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المواصفات'!$S$6:$S$17</c:f>
              <c:numCache>
                <c:formatCode>0.00%</c:formatCode>
                <c:ptCount val="12"/>
                <c:pt idx="0">
                  <c:v>8.1240920239115232E-3</c:v>
                </c:pt>
                <c:pt idx="1">
                  <c:v>2.4207240265074759E-2</c:v>
                </c:pt>
                <c:pt idx="2">
                  <c:v>0</c:v>
                </c:pt>
                <c:pt idx="3">
                  <c:v>9.2438528378628213E-4</c:v>
                </c:pt>
                <c:pt idx="4">
                  <c:v>2.0378457059679767E-3</c:v>
                </c:pt>
                <c:pt idx="5">
                  <c:v>2.9425079221367133E-2</c:v>
                </c:pt>
                <c:pt idx="6">
                  <c:v>0</c:v>
                </c:pt>
                <c:pt idx="7">
                  <c:v>0</c:v>
                </c:pt>
                <c:pt idx="8">
                  <c:v>1.4952153110047847E-2</c:v>
                </c:pt>
                <c:pt idx="9">
                  <c:v>1.4428412874583796E-2</c:v>
                </c:pt>
                <c:pt idx="10">
                  <c:v>0</c:v>
                </c:pt>
                <c:pt idx="11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7C-4A2A-AE15-78CCE5A44591}"/>
            </c:ext>
          </c:extLst>
        </c:ser>
        <c:ser>
          <c:idx val="6"/>
          <c:order val="6"/>
          <c:tx>
            <c:strRef>
              <c:f>'نسب وكميات المواصفات'!$U$5</c:f>
              <c:strCache>
                <c:ptCount val="1"/>
                <c:pt idx="0">
                  <c:v>Bon_Bon_%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المواصفات'!$U$6:$U$17</c:f>
              <c:numCache>
                <c:formatCode>0.00%</c:formatCode>
                <c:ptCount val="12"/>
                <c:pt idx="0">
                  <c:v>5.1355867436869273E-3</c:v>
                </c:pt>
                <c:pt idx="1">
                  <c:v>2.1304562133742263E-2</c:v>
                </c:pt>
                <c:pt idx="2">
                  <c:v>0</c:v>
                </c:pt>
                <c:pt idx="3">
                  <c:v>9.2438528378628216E-5</c:v>
                </c:pt>
                <c:pt idx="4">
                  <c:v>1.8922852983988354E-3</c:v>
                </c:pt>
                <c:pt idx="5">
                  <c:v>2.6029877772747848E-2</c:v>
                </c:pt>
                <c:pt idx="6">
                  <c:v>0</c:v>
                </c:pt>
                <c:pt idx="7">
                  <c:v>0</c:v>
                </c:pt>
                <c:pt idx="8">
                  <c:v>1.9138755980861243E-2</c:v>
                </c:pt>
                <c:pt idx="9">
                  <c:v>1.2208657047724751E-2</c:v>
                </c:pt>
                <c:pt idx="10">
                  <c:v>4.6948356807511738E-3</c:v>
                </c:pt>
                <c:pt idx="11">
                  <c:v>2.3376623376623377E-2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7C-4A2A-AE15-78CCE5A44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9786255"/>
        <c:axId val="489788655"/>
        <c:axId val="0"/>
      </c:bar3DChart>
      <c:catAx>
        <c:axId val="48978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88655"/>
        <c:crosses val="autoZero"/>
        <c:auto val="1"/>
        <c:lblAlgn val="ctr"/>
        <c:lblOffset val="100"/>
        <c:noMultiLvlLbl val="0"/>
      </c:catAx>
      <c:valAx>
        <c:axId val="48978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8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'نسب وكميات المواصفات'!$I$5</c:f>
              <c:strCache>
                <c:ptCount val="1"/>
                <c:pt idx="0">
                  <c:v>Premium_%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المواصفات'!$I$6:$I$17</c:f>
              <c:numCache>
                <c:formatCode>0.00%</c:formatCode>
                <c:ptCount val="12"/>
                <c:pt idx="0">
                  <c:v>0.50560611674494327</c:v>
                </c:pt>
                <c:pt idx="1">
                  <c:v>0.39328550303959692</c:v>
                </c:pt>
                <c:pt idx="2">
                  <c:v>0.53623188405797095</c:v>
                </c:pt>
                <c:pt idx="3">
                  <c:v>4.0672952486596418E-3</c:v>
                </c:pt>
                <c:pt idx="4">
                  <c:v>0.23027656477438135</c:v>
                </c:pt>
                <c:pt idx="5">
                  <c:v>0.36487098234495247</c:v>
                </c:pt>
                <c:pt idx="6">
                  <c:v>0.20661157024793386</c:v>
                </c:pt>
                <c:pt idx="7">
                  <c:v>1</c:v>
                </c:pt>
                <c:pt idx="8">
                  <c:v>0.35287081339712917</c:v>
                </c:pt>
                <c:pt idx="9">
                  <c:v>0.47280799112097671</c:v>
                </c:pt>
                <c:pt idx="10">
                  <c:v>0.45305164319248825</c:v>
                </c:pt>
                <c:pt idx="11">
                  <c:v>0.43896103896103894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C-48AE-85E3-09211044A497}"/>
            </c:ext>
          </c:extLst>
        </c:ser>
        <c:ser>
          <c:idx val="1"/>
          <c:order val="1"/>
          <c:tx>
            <c:strRef>
              <c:f>'نسب وكميات المواصفات'!$K$5</c:f>
              <c:strCache>
                <c:ptCount val="1"/>
                <c:pt idx="0">
                  <c:v>Delight_%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المواصفات'!$K$6:$K$17</c:f>
              <c:numCache>
                <c:formatCode>0.00%</c:formatCode>
                <c:ptCount val="12"/>
                <c:pt idx="0">
                  <c:v>0.2282068475070208</c:v>
                </c:pt>
                <c:pt idx="1">
                  <c:v>0.24809682896106031</c:v>
                </c:pt>
                <c:pt idx="2">
                  <c:v>0.2608695652173913</c:v>
                </c:pt>
                <c:pt idx="3">
                  <c:v>9.456461453133666E-2</c:v>
                </c:pt>
                <c:pt idx="4">
                  <c:v>0.32445414847161569</c:v>
                </c:pt>
                <c:pt idx="5">
                  <c:v>0.29990946129470347</c:v>
                </c:pt>
                <c:pt idx="6">
                  <c:v>0.52892561983471076</c:v>
                </c:pt>
                <c:pt idx="7">
                  <c:v>0</c:v>
                </c:pt>
                <c:pt idx="8">
                  <c:v>0.30861244019138756</c:v>
                </c:pt>
                <c:pt idx="9">
                  <c:v>0.25527192008879024</c:v>
                </c:pt>
                <c:pt idx="10">
                  <c:v>0.34272300469483574</c:v>
                </c:pt>
                <c:pt idx="11">
                  <c:v>0.27532467532467531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C-48AE-85E3-09211044A497}"/>
            </c:ext>
          </c:extLst>
        </c:ser>
        <c:ser>
          <c:idx val="2"/>
          <c:order val="2"/>
          <c:tx>
            <c:strRef>
              <c:f>'نسب وكميات المواصفات'!$M$5</c:f>
              <c:strCache>
                <c:ptCount val="1"/>
                <c:pt idx="0">
                  <c:v>Classic_%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المواصفات'!$M$6:$M$17</c:f>
              <c:numCache>
                <c:formatCode>0.00%</c:formatCode>
                <c:ptCount val="12"/>
                <c:pt idx="0">
                  <c:v>0.20252897181781487</c:v>
                </c:pt>
                <c:pt idx="1">
                  <c:v>0.11955747850375158</c:v>
                </c:pt>
                <c:pt idx="2">
                  <c:v>0</c:v>
                </c:pt>
                <c:pt idx="3">
                  <c:v>0.1641708264004437</c:v>
                </c:pt>
                <c:pt idx="4">
                  <c:v>0.18224163027656479</c:v>
                </c:pt>
                <c:pt idx="5">
                  <c:v>5.8397464916251696E-2</c:v>
                </c:pt>
                <c:pt idx="6">
                  <c:v>0</c:v>
                </c:pt>
                <c:pt idx="7">
                  <c:v>0</c:v>
                </c:pt>
                <c:pt idx="8">
                  <c:v>4.0669856459330141E-2</c:v>
                </c:pt>
                <c:pt idx="9">
                  <c:v>4.3285238623751388E-2</c:v>
                </c:pt>
                <c:pt idx="10">
                  <c:v>5.39906103286385E-2</c:v>
                </c:pt>
                <c:pt idx="11">
                  <c:v>5.7142857142857141E-2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AC-48AE-85E3-09211044A497}"/>
            </c:ext>
          </c:extLst>
        </c:ser>
        <c:ser>
          <c:idx val="3"/>
          <c:order val="3"/>
          <c:tx>
            <c:strRef>
              <c:f>'نسب وكميات المواصفات'!$O$5</c:f>
              <c:strCache>
                <c:ptCount val="1"/>
                <c:pt idx="0">
                  <c:v>G4_%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المواصفات'!$O$6:$O$17</c:f>
              <c:numCache>
                <c:formatCode>0.00%</c:formatCode>
                <c:ptCount val="12"/>
                <c:pt idx="0">
                  <c:v>2.2196179993901128E-2</c:v>
                </c:pt>
                <c:pt idx="1">
                  <c:v>8.6532668820855474E-2</c:v>
                </c:pt>
                <c:pt idx="2">
                  <c:v>0.20289855072463769</c:v>
                </c:pt>
                <c:pt idx="3">
                  <c:v>0.60177481974486968</c:v>
                </c:pt>
                <c:pt idx="4">
                  <c:v>0.14497816593886462</c:v>
                </c:pt>
                <c:pt idx="5">
                  <c:v>7.3110004526935266E-2</c:v>
                </c:pt>
                <c:pt idx="6">
                  <c:v>0.26446280991735538</c:v>
                </c:pt>
                <c:pt idx="7">
                  <c:v>0</c:v>
                </c:pt>
                <c:pt idx="8">
                  <c:v>0.19258373205741627</c:v>
                </c:pt>
                <c:pt idx="9">
                  <c:v>3.4406215316315207E-2</c:v>
                </c:pt>
                <c:pt idx="10">
                  <c:v>0.10563380281690141</c:v>
                </c:pt>
                <c:pt idx="11">
                  <c:v>1.2987012987012988E-2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AC-48AE-85E3-09211044A497}"/>
            </c:ext>
          </c:extLst>
        </c:ser>
        <c:ser>
          <c:idx val="4"/>
          <c:order val="4"/>
          <c:tx>
            <c:strRef>
              <c:f>'نسب وكميات المواصفات'!$Q$5</c:f>
              <c:strCache>
                <c:ptCount val="1"/>
                <c:pt idx="0">
                  <c:v>Golden_Crowen_%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المواصفات'!$Q$6:$Q$17</c:f>
              <c:numCache>
                <c:formatCode>0.00%</c:formatCode>
                <c:ptCount val="12"/>
                <c:pt idx="0">
                  <c:v>2.820220516872143E-2</c:v>
                </c:pt>
                <c:pt idx="1">
                  <c:v>8.6532668820855474E-2</c:v>
                </c:pt>
                <c:pt idx="2">
                  <c:v>0</c:v>
                </c:pt>
                <c:pt idx="3">
                  <c:v>0.13440562026252542</c:v>
                </c:pt>
                <c:pt idx="4">
                  <c:v>0.1141193595342067</c:v>
                </c:pt>
                <c:pt idx="5">
                  <c:v>0.1482571299230421</c:v>
                </c:pt>
                <c:pt idx="6">
                  <c:v>0</c:v>
                </c:pt>
                <c:pt idx="7">
                  <c:v>0</c:v>
                </c:pt>
                <c:pt idx="8">
                  <c:v>7.1172248803827748E-2</c:v>
                </c:pt>
                <c:pt idx="9">
                  <c:v>0.16759156492785793</c:v>
                </c:pt>
                <c:pt idx="10">
                  <c:v>3.9906103286384977E-2</c:v>
                </c:pt>
                <c:pt idx="11">
                  <c:v>0.17402597402597403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AC-48AE-85E3-09211044A497}"/>
            </c:ext>
          </c:extLst>
        </c:ser>
        <c:ser>
          <c:idx val="5"/>
          <c:order val="5"/>
          <c:tx>
            <c:strRef>
              <c:f>'نسب وكميات المواصفات'!$S$5</c:f>
              <c:strCache>
                <c:ptCount val="1"/>
                <c:pt idx="0">
                  <c:v>Baby_Small_%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المواصفات'!$S$6:$S$17</c:f>
              <c:numCache>
                <c:formatCode>0.00%</c:formatCode>
                <c:ptCount val="12"/>
                <c:pt idx="0">
                  <c:v>8.1240920239115232E-3</c:v>
                </c:pt>
                <c:pt idx="1">
                  <c:v>2.4207240265074759E-2</c:v>
                </c:pt>
                <c:pt idx="2">
                  <c:v>0</c:v>
                </c:pt>
                <c:pt idx="3">
                  <c:v>9.2438528378628213E-4</c:v>
                </c:pt>
                <c:pt idx="4">
                  <c:v>2.0378457059679767E-3</c:v>
                </c:pt>
                <c:pt idx="5">
                  <c:v>2.9425079221367133E-2</c:v>
                </c:pt>
                <c:pt idx="6">
                  <c:v>0</c:v>
                </c:pt>
                <c:pt idx="7">
                  <c:v>0</c:v>
                </c:pt>
                <c:pt idx="8">
                  <c:v>1.4952153110047847E-2</c:v>
                </c:pt>
                <c:pt idx="9">
                  <c:v>1.4428412874583796E-2</c:v>
                </c:pt>
                <c:pt idx="10">
                  <c:v>0</c:v>
                </c:pt>
                <c:pt idx="11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AC-48AE-85E3-09211044A497}"/>
            </c:ext>
          </c:extLst>
        </c:ser>
        <c:ser>
          <c:idx val="6"/>
          <c:order val="6"/>
          <c:tx>
            <c:strRef>
              <c:f>'نسب وكميات المواصفات'!$U$5</c:f>
              <c:strCache>
                <c:ptCount val="1"/>
                <c:pt idx="0">
                  <c:v>Bon_Bon_%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'نسب وكميات المواصفات'!$F$6:$F$17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وكميات المواصفات'!$U$6:$U$17</c:f>
              <c:numCache>
                <c:formatCode>0.00%</c:formatCode>
                <c:ptCount val="12"/>
                <c:pt idx="0">
                  <c:v>5.1355867436869273E-3</c:v>
                </c:pt>
                <c:pt idx="1">
                  <c:v>2.1304562133742263E-2</c:v>
                </c:pt>
                <c:pt idx="2">
                  <c:v>0</c:v>
                </c:pt>
                <c:pt idx="3">
                  <c:v>9.2438528378628216E-5</c:v>
                </c:pt>
                <c:pt idx="4">
                  <c:v>1.8922852983988354E-3</c:v>
                </c:pt>
                <c:pt idx="5">
                  <c:v>2.6029877772747848E-2</c:v>
                </c:pt>
                <c:pt idx="6">
                  <c:v>0</c:v>
                </c:pt>
                <c:pt idx="7">
                  <c:v>0</c:v>
                </c:pt>
                <c:pt idx="8">
                  <c:v>1.9138755980861243E-2</c:v>
                </c:pt>
                <c:pt idx="9">
                  <c:v>1.2208657047724751E-2</c:v>
                </c:pt>
                <c:pt idx="10">
                  <c:v>4.6948356807511738E-3</c:v>
                </c:pt>
                <c:pt idx="11">
                  <c:v>2.3376623376623377E-2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AC-48AE-85E3-09211044A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9786255"/>
        <c:axId val="489788655"/>
        <c:axId val="0"/>
      </c:bar3DChart>
      <c:catAx>
        <c:axId val="48978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88655"/>
        <c:crosses val="autoZero"/>
        <c:auto val="1"/>
        <c:lblAlgn val="ctr"/>
        <c:lblOffset val="100"/>
        <c:noMultiLvlLbl val="0"/>
      </c:catAx>
      <c:valAx>
        <c:axId val="48978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8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'نسب وكميات المواصفات'!$F$6</c:f>
              <c:strCache>
                <c:ptCount val="1"/>
                <c:pt idx="0">
                  <c:v>Raw_1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2E-4FBB-9D0B-D3E4890CDE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2E-4FBB-9D0B-D3E4890CDE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2E-4FBB-9D0B-D3E4890CDE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('نسب وكميات المواصفات'!$I$5,'نسب وكميات المواصفات'!$K$5,'نسب وكميات المواصفات'!$O$5)</c:f>
              <c:strCache>
                <c:ptCount val="3"/>
                <c:pt idx="0">
                  <c:v>Premium_%</c:v>
                </c:pt>
                <c:pt idx="1">
                  <c:v>Delight_%</c:v>
                </c:pt>
                <c:pt idx="2">
                  <c:v>G4_%</c:v>
                </c:pt>
              </c:strCache>
            </c:strRef>
          </c:cat>
          <c:val>
            <c:numRef>
              <c:f>('نسب وكميات المواصفات'!$I$6,'نسب وكميات المواصفات'!$K$6,'نسب وكميات المواصفات'!$O$6)</c:f>
              <c:numCache>
                <c:formatCode>0.00%</c:formatCode>
                <c:ptCount val="3"/>
                <c:pt idx="0">
                  <c:v>0.50560611674494327</c:v>
                </c:pt>
                <c:pt idx="1">
                  <c:v>0.2282068475070208</c:v>
                </c:pt>
                <c:pt idx="2">
                  <c:v>2.2196179993901128E-2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5-4157-A85D-381E87336C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نسبة البريميوم لكل مورد من اجمالي نسبة البريميوم الكلية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'نسب و كميات كل مواصفة'!$H$5</c:f>
              <c:strCache>
                <c:ptCount val="1"/>
                <c:pt idx="0">
                  <c:v>Premium_%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'نسب و كميات كل مواصفة'!$E$6:$E$17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 كميات كل مواصفة'!$H$6:$H$17</c:f>
              <c:numCache>
                <c:formatCode>0.00%</c:formatCode>
                <c:ptCount val="12"/>
                <c:pt idx="0">
                  <c:v>0.44381497187544638</c:v>
                </c:pt>
                <c:pt idx="1">
                  <c:v>0.18289058920058704</c:v>
                </c:pt>
                <c:pt idx="2">
                  <c:v>0.18846823006327026</c:v>
                </c:pt>
                <c:pt idx="3">
                  <c:v>1.1206219084843102E-3</c:v>
                </c:pt>
                <c:pt idx="4">
                  <c:v>4.0291451345958594E-2</c:v>
                </c:pt>
                <c:pt idx="5">
                  <c:v>4.1055511738106995E-2</c:v>
                </c:pt>
                <c:pt idx="6">
                  <c:v>1.5917924836424856E-2</c:v>
                </c:pt>
                <c:pt idx="7">
                  <c:v>5.1344858352372021E-2</c:v>
                </c:pt>
                <c:pt idx="8">
                  <c:v>1.5026521045585066E-2</c:v>
                </c:pt>
                <c:pt idx="9">
                  <c:v>1.0849657568507183E-2</c:v>
                </c:pt>
                <c:pt idx="10">
                  <c:v>4.9154551894879965E-3</c:v>
                </c:pt>
                <c:pt idx="11">
                  <c:v>4.3042068757692814E-3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D-4F55-BCD9-F1FBC80EA5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9891855"/>
        <c:axId val="489887055"/>
      </c:barChart>
      <c:catAx>
        <c:axId val="48989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87055"/>
        <c:crosses val="autoZero"/>
        <c:auto val="1"/>
        <c:lblAlgn val="ctr"/>
        <c:lblOffset val="100"/>
        <c:noMultiLvlLbl val="0"/>
      </c:catAx>
      <c:valAx>
        <c:axId val="4898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9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نسبة الديلايت لكل مورد من اجمالي نسبة الديلايت الكلية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'نسب و كميات كل مواصفة'!$J$5</c:f>
              <c:strCache>
                <c:ptCount val="1"/>
                <c:pt idx="0">
                  <c:v>Delight_%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'نسب و كميات كل مواصفة'!$E$6:$E$17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 كميات كل مواصفة'!$J$6:$J$17</c:f>
              <c:numCache>
                <c:formatCode>0.00%</c:formatCode>
                <c:ptCount val="12"/>
                <c:pt idx="0">
                  <c:v>0.33945434656303486</c:v>
                </c:pt>
                <c:pt idx="1">
                  <c:v>0.19550942894932716</c:v>
                </c:pt>
                <c:pt idx="2">
                  <c:v>0.15537173161535933</c:v>
                </c:pt>
                <c:pt idx="3">
                  <c:v>4.4151467067364607E-2</c:v>
                </c:pt>
                <c:pt idx="4">
                  <c:v>9.6200997158509965E-2</c:v>
                </c:pt>
                <c:pt idx="5">
                  <c:v>5.7185428997319751E-2</c:v>
                </c:pt>
                <c:pt idx="6">
                  <c:v>6.9054102940159692E-2</c:v>
                </c:pt>
                <c:pt idx="7">
                  <c:v>0</c:v>
                </c:pt>
                <c:pt idx="8">
                  <c:v>2.2269948198201502E-2</c:v>
                </c:pt>
                <c:pt idx="9">
                  <c:v>9.9265272976479559E-3</c:v>
                </c:pt>
                <c:pt idx="10">
                  <c:v>6.3011868932895737E-3</c:v>
                </c:pt>
                <c:pt idx="11">
                  <c:v>4.5748343197855798E-3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4-49A2-A510-E4DFE971FD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9891855"/>
        <c:axId val="489887055"/>
      </c:barChart>
      <c:catAx>
        <c:axId val="48989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87055"/>
        <c:crosses val="autoZero"/>
        <c:auto val="1"/>
        <c:lblAlgn val="ctr"/>
        <c:lblOffset val="100"/>
        <c:noMultiLvlLbl val="0"/>
      </c:catAx>
      <c:valAx>
        <c:axId val="4898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9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نسبة الكلاسيك لكل مورد من اجمالي نسبة الكلاسيك الكلية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'نسب و كميات كل مواصفة'!$L$5</c:f>
              <c:strCache>
                <c:ptCount val="1"/>
                <c:pt idx="0">
                  <c:v>Classic_%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'نسب و كميات كل مواصفة'!$E$6:$E$17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 كميات كل مواصفة'!$L$6:$L$17</c:f>
              <c:numCache>
                <c:formatCode>0.00%</c:formatCode>
                <c:ptCount val="12"/>
                <c:pt idx="0">
                  <c:v>0.55393278756693787</c:v>
                </c:pt>
                <c:pt idx="1">
                  <c:v>0.17323691954125151</c:v>
                </c:pt>
                <c:pt idx="2">
                  <c:v>0</c:v>
                </c:pt>
                <c:pt idx="3">
                  <c:v>0.14093851081322156</c:v>
                </c:pt>
                <c:pt idx="4">
                  <c:v>9.9355301541753038E-2</c:v>
                </c:pt>
                <c:pt idx="5">
                  <c:v>2.0474175557326106E-2</c:v>
                </c:pt>
                <c:pt idx="6">
                  <c:v>0</c:v>
                </c:pt>
                <c:pt idx="7">
                  <c:v>0</c:v>
                </c:pt>
                <c:pt idx="8">
                  <c:v>5.396294332938663E-3</c:v>
                </c:pt>
                <c:pt idx="9">
                  <c:v>3.0949335144795274E-3</c:v>
                </c:pt>
                <c:pt idx="10">
                  <c:v>1.8252172008469008E-3</c:v>
                </c:pt>
                <c:pt idx="11">
                  <c:v>1.7458599312448616E-3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7-4607-B9CE-4722FC6E17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9891855"/>
        <c:axId val="489887055"/>
      </c:barChart>
      <c:catAx>
        <c:axId val="48989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87055"/>
        <c:crosses val="autoZero"/>
        <c:auto val="1"/>
        <c:lblAlgn val="ctr"/>
        <c:lblOffset val="100"/>
        <c:noMultiLvlLbl val="0"/>
      </c:catAx>
      <c:valAx>
        <c:axId val="4898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9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نسبة الدرجة الرابعة لكل مورد من اجمالي نسبة الدرجة الرابعة الكلية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'نسب و كميات كل مواصفة'!$N$5</c:f>
              <c:strCache>
                <c:ptCount val="1"/>
                <c:pt idx="0">
                  <c:v>G4_%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'نسب و كميات كل مواصفة'!$E$6:$E$17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 كميات كل مواصفة'!$N$6:$N$17</c:f>
              <c:numCache>
                <c:formatCode>0.00%</c:formatCode>
                <c:ptCount val="12"/>
                <c:pt idx="0">
                  <c:v>5.3960640474007199E-2</c:v>
                </c:pt>
                <c:pt idx="1">
                  <c:v>0.11144812019468153</c:v>
                </c:pt>
                <c:pt idx="2">
                  <c:v>0.19750299781335967</c:v>
                </c:pt>
                <c:pt idx="3">
                  <c:v>0.45919446991606122</c:v>
                </c:pt>
                <c:pt idx="4">
                  <c:v>7.0254637793609367E-2</c:v>
                </c:pt>
                <c:pt idx="5">
                  <c:v>2.2783381533469704E-2</c:v>
                </c:pt>
                <c:pt idx="6">
                  <c:v>5.6429427946674188E-2</c:v>
                </c:pt>
                <c:pt idx="7">
                  <c:v>0</c:v>
                </c:pt>
                <c:pt idx="8">
                  <c:v>2.2712844748536361E-2</c:v>
                </c:pt>
                <c:pt idx="9">
                  <c:v>2.1866403329336248E-3</c:v>
                </c:pt>
                <c:pt idx="10">
                  <c:v>3.1741553220004234E-3</c:v>
                </c:pt>
                <c:pt idx="11">
                  <c:v>3.5268392466671371E-4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A-4955-9034-2101A6B09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9891855"/>
        <c:axId val="489887055"/>
      </c:barChart>
      <c:catAx>
        <c:axId val="48989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87055"/>
        <c:crosses val="autoZero"/>
        <c:auto val="1"/>
        <c:lblAlgn val="ctr"/>
        <c:lblOffset val="100"/>
        <c:noMultiLvlLbl val="0"/>
      </c:catAx>
      <c:valAx>
        <c:axId val="4898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9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نسبة المطوق</a:t>
            </a:r>
            <a:r>
              <a:rPr lang="ar-EG" baseline="0"/>
              <a:t> </a:t>
            </a:r>
            <a:r>
              <a:rPr lang="ar-EG"/>
              <a:t>لكل مورد من اجمالي نسبة المطوق الكلية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'نسب و كميات كل مواصفة'!$P$5</c:f>
              <c:strCache>
                <c:ptCount val="1"/>
                <c:pt idx="0">
                  <c:v>Golden_Crowen_%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'نسب و كميات كل مواصفة'!$E$6:$E$17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 كميات كل مواصفة'!$P$6:$P$17</c:f>
              <c:numCache>
                <c:formatCode>0.00%</c:formatCode>
                <c:ptCount val="12"/>
                <c:pt idx="0">
                  <c:v>0.16761510605276772</c:v>
                </c:pt>
                <c:pt idx="1">
                  <c:v>0.27246076909812039</c:v>
                </c:pt>
                <c:pt idx="2">
                  <c:v>0</c:v>
                </c:pt>
                <c:pt idx="3">
                  <c:v>0.25073288498016899</c:v>
                </c:pt>
                <c:pt idx="4">
                  <c:v>0.1351957234005863</c:v>
                </c:pt>
                <c:pt idx="5">
                  <c:v>0.112950508708398</c:v>
                </c:pt>
                <c:pt idx="6">
                  <c:v>0</c:v>
                </c:pt>
                <c:pt idx="7">
                  <c:v>0</c:v>
                </c:pt>
                <c:pt idx="8">
                  <c:v>2.0520779444731851E-2</c:v>
                </c:pt>
                <c:pt idx="9">
                  <c:v>2.6038972236592517E-2</c:v>
                </c:pt>
                <c:pt idx="10">
                  <c:v>2.9315399206759785E-3</c:v>
                </c:pt>
                <c:pt idx="11">
                  <c:v>1.1553716157958268E-2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9-4587-9505-B2B999E643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9891855"/>
        <c:axId val="489887055"/>
      </c:barChart>
      <c:catAx>
        <c:axId val="48989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87055"/>
        <c:crosses val="autoZero"/>
        <c:auto val="1"/>
        <c:lblAlgn val="ctr"/>
        <c:lblOffset val="100"/>
        <c:noMultiLvlLbl val="0"/>
      </c:catAx>
      <c:valAx>
        <c:axId val="4898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9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نسبة البي بي سمول</a:t>
            </a:r>
            <a:r>
              <a:rPr lang="ar-EG" baseline="0"/>
              <a:t> </a:t>
            </a:r>
            <a:r>
              <a:rPr lang="ar-EG"/>
              <a:t>لكل مورد من اجمالي نسبة البي بي سمول الكلية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'نسب و كميات كل مواصفة'!$R$5</c:f>
              <c:strCache>
                <c:ptCount val="1"/>
                <c:pt idx="0">
                  <c:v>Baby_Small_%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'نسب و كميات كل مواصفة'!$E$6:$E$17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 كميات كل مواصفة'!$R$6:$R$17</c:f>
              <c:numCache>
                <c:formatCode>0.00%</c:formatCode>
                <c:ptCount val="12"/>
                <c:pt idx="0">
                  <c:v>0.30401737242128124</c:v>
                </c:pt>
                <c:pt idx="1">
                  <c:v>0.47991313789359391</c:v>
                </c:pt>
                <c:pt idx="2">
                  <c:v>0</c:v>
                </c:pt>
                <c:pt idx="3">
                  <c:v>1.0857763300760043E-2</c:v>
                </c:pt>
                <c:pt idx="4">
                  <c:v>1.5200868621064061E-2</c:v>
                </c:pt>
                <c:pt idx="5">
                  <c:v>0.14115092290988057</c:v>
                </c:pt>
                <c:pt idx="6">
                  <c:v>0</c:v>
                </c:pt>
                <c:pt idx="7">
                  <c:v>0</c:v>
                </c:pt>
                <c:pt idx="8">
                  <c:v>2.714440825190011E-2</c:v>
                </c:pt>
                <c:pt idx="9">
                  <c:v>1.4115092290988056E-2</c:v>
                </c:pt>
                <c:pt idx="10">
                  <c:v>0</c:v>
                </c:pt>
                <c:pt idx="11">
                  <c:v>7.6004343105320303E-3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5-4D3E-BAAC-09BBE13305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9891855"/>
        <c:axId val="489887055"/>
      </c:barChart>
      <c:catAx>
        <c:axId val="48989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87055"/>
        <c:crosses val="autoZero"/>
        <c:auto val="1"/>
        <c:lblAlgn val="ctr"/>
        <c:lblOffset val="100"/>
        <c:noMultiLvlLbl val="0"/>
      </c:catAx>
      <c:valAx>
        <c:axId val="4898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9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نسبة البون</a:t>
            </a:r>
            <a:r>
              <a:rPr lang="ar-EG" baseline="0"/>
              <a:t> بون </a:t>
            </a:r>
            <a:r>
              <a:rPr lang="ar-EG"/>
              <a:t>لكل مورد من اجمالي نسبة البون بون الكلية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'نسب و كميات كل مواصفة'!$T$5</c:f>
              <c:strCache>
                <c:ptCount val="1"/>
                <c:pt idx="0">
                  <c:v>Bon_Bon_%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'نسب و كميات كل مواصفة'!$E$6:$E$17</c:f>
              <c:strCache>
                <c:ptCount val="12"/>
                <c:pt idx="0">
                  <c:v>Raw_1</c:v>
                </c:pt>
                <c:pt idx="1">
                  <c:v>Raw_2</c:v>
                </c:pt>
                <c:pt idx="2">
                  <c:v>Segam2_EX</c:v>
                </c:pt>
                <c:pt idx="3">
                  <c:v>Lehaa_EX</c:v>
                </c:pt>
                <c:pt idx="4">
                  <c:v>El_Maha_EX</c:v>
                </c:pt>
                <c:pt idx="5">
                  <c:v>Shahd_EX</c:v>
                </c:pt>
                <c:pt idx="6">
                  <c:v>PalmEgypt_EX</c:v>
                </c:pt>
                <c:pt idx="7">
                  <c:v>Segam1_EX</c:v>
                </c:pt>
                <c:pt idx="8">
                  <c:v>El_Gewshy_EX</c:v>
                </c:pt>
                <c:pt idx="9">
                  <c:v>Strick_EX</c:v>
                </c:pt>
                <c:pt idx="10">
                  <c:v>El_Maleka_EX</c:v>
                </c:pt>
                <c:pt idx="11">
                  <c:v>El_Gendy_EX</c:v>
                </c:pt>
              </c:strCache>
            </c:strRef>
          </c:cat>
          <c:val>
            <c:numRef>
              <c:f>'نسب و كميات كل مواصفة'!$T$6:$T$17</c:f>
              <c:numCache>
                <c:formatCode>0.00%</c:formatCode>
                <c:ptCount val="12"/>
                <c:pt idx="0">
                  <c:v>0.2363150867823765</c:v>
                </c:pt>
                <c:pt idx="1">
                  <c:v>0.51935914552736984</c:v>
                </c:pt>
                <c:pt idx="2">
                  <c:v>0</c:v>
                </c:pt>
                <c:pt idx="3">
                  <c:v>1.3351134846461949E-3</c:v>
                </c:pt>
                <c:pt idx="4">
                  <c:v>1.7356475300400534E-2</c:v>
                </c:pt>
                <c:pt idx="5">
                  <c:v>0.15353805073431243</c:v>
                </c:pt>
                <c:pt idx="6">
                  <c:v>0</c:v>
                </c:pt>
                <c:pt idx="7">
                  <c:v>0</c:v>
                </c:pt>
                <c:pt idx="8">
                  <c:v>4.2723631508678236E-2</c:v>
                </c:pt>
                <c:pt idx="9">
                  <c:v>1.4686248331108143E-2</c:v>
                </c:pt>
                <c:pt idx="10">
                  <c:v>2.6702269692923898E-3</c:v>
                </c:pt>
                <c:pt idx="11">
                  <c:v>1.2016021361815754E-2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4-48F4-AAA2-B9BB39ADB8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9891855"/>
        <c:axId val="489887055"/>
      </c:barChart>
      <c:catAx>
        <c:axId val="48989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87055"/>
        <c:crosses val="autoZero"/>
        <c:auto val="1"/>
        <c:lblAlgn val="ctr"/>
        <c:lblOffset val="100"/>
        <c:noMultiLvlLbl val="0"/>
      </c:catAx>
      <c:valAx>
        <c:axId val="4898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9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17</xdr:row>
      <xdr:rowOff>57150</xdr:rowOff>
    </xdr:from>
    <xdr:to>
      <xdr:col>10</xdr:col>
      <xdr:colOff>1352550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8D5B2-06D0-93A6-6275-DCC49D90C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27214</xdr:colOff>
      <xdr:row>17</xdr:row>
      <xdr:rowOff>84363</xdr:rowOff>
    </xdr:from>
    <xdr:to>
      <xdr:col>21</xdr:col>
      <xdr:colOff>1428750</xdr:colOff>
      <xdr:row>57</xdr:row>
      <xdr:rowOff>149679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42531-DC94-B2A4-AAD6-003B39BF4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398320</xdr:colOff>
      <xdr:row>61</xdr:row>
      <xdr:rowOff>173183</xdr:rowOff>
    </xdr:from>
    <xdr:to>
      <xdr:col>14</xdr:col>
      <xdr:colOff>86592</xdr:colOff>
      <xdr:row>95</xdr:row>
      <xdr:rowOff>103909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B15ADC-DF95-4C1C-8A96-FB9FD6496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590151</xdr:colOff>
      <xdr:row>65</xdr:row>
      <xdr:rowOff>15852</xdr:rowOff>
    </xdr:from>
    <xdr:to>
      <xdr:col>16</xdr:col>
      <xdr:colOff>1472712</xdr:colOff>
      <xdr:row>79</xdr:row>
      <xdr:rowOff>92052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DBC712-BC93-1CB8-316E-B5998CDB1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1378324</xdr:colOff>
      <xdr:row>20</xdr:row>
      <xdr:rowOff>101972</xdr:rowOff>
    </xdr:from>
    <xdr:to>
      <xdr:col>15</xdr:col>
      <xdr:colOff>1008531</xdr:colOff>
      <xdr:row>41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AE333-6707-21E0-9653-137C66682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1378324</xdr:colOff>
      <xdr:row>41</xdr:row>
      <xdr:rowOff>78441</xdr:rowOff>
    </xdr:from>
    <xdr:to>
      <xdr:col>15</xdr:col>
      <xdr:colOff>1008531</xdr:colOff>
      <xdr:row>61</xdr:row>
      <xdr:rowOff>189380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0215BE-F4EF-4FF9-B56E-101D57A83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1389529</xdr:colOff>
      <xdr:row>62</xdr:row>
      <xdr:rowOff>56029</xdr:rowOff>
    </xdr:from>
    <xdr:to>
      <xdr:col>15</xdr:col>
      <xdr:colOff>1019736</xdr:colOff>
      <xdr:row>82</xdr:row>
      <xdr:rowOff>166968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2F7AA1-9C15-47CD-BF92-E5C5EE202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1389529</xdr:colOff>
      <xdr:row>83</xdr:row>
      <xdr:rowOff>22412</xdr:rowOff>
    </xdr:from>
    <xdr:to>
      <xdr:col>15</xdr:col>
      <xdr:colOff>1019736</xdr:colOff>
      <xdr:row>103</xdr:row>
      <xdr:rowOff>133351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FAB739-92DB-4FA6-BCDE-627B50B11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1400735</xdr:colOff>
      <xdr:row>104</xdr:row>
      <xdr:rowOff>33618</xdr:rowOff>
    </xdr:from>
    <xdr:to>
      <xdr:col>15</xdr:col>
      <xdr:colOff>1030942</xdr:colOff>
      <xdr:row>124</xdr:row>
      <xdr:rowOff>144557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8F811A-88FF-40CE-9332-58A7AA0AB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1400735</xdr:colOff>
      <xdr:row>125</xdr:row>
      <xdr:rowOff>44824</xdr:rowOff>
    </xdr:from>
    <xdr:to>
      <xdr:col>15</xdr:col>
      <xdr:colOff>1030942</xdr:colOff>
      <xdr:row>145</xdr:row>
      <xdr:rowOff>155763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2F7647-E52F-4C3F-9707-76347343F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1400735</xdr:colOff>
      <xdr:row>146</xdr:row>
      <xdr:rowOff>0</xdr:rowOff>
    </xdr:from>
    <xdr:to>
      <xdr:col>15</xdr:col>
      <xdr:colOff>1030942</xdr:colOff>
      <xdr:row>166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4469BE-903A-40F5-89E0-79FF7A992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A4E3C-78C9-4131-BE58-40BEFA803427}" name="Table1" displayName="Table1" ref="E5:K17" totalsRowShown="0" headerRowDxfId="28" dataDxfId="27">
  <autoFilter ref="E5:K17" xr:uid="{E17A4E3C-78C9-4131-BE58-40BEFA8034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E6:K17">
    <sortCondition descending="1" ref="G5:G17"/>
  </sortState>
  <tableColumns count="7">
    <tableColumn id="1" xr3:uid="{A1EEE287-CE75-4580-A207-5BA7B194DE05}" name="S_ID" dataDxfId="26"/>
    <tableColumn id="2" xr3:uid="{38E7B5B0-CC8F-4E73-91A0-63AF577CA414}" name="S_Name" dataDxfId="25"/>
    <tableColumn id="3" xr3:uid="{2CD5AC9E-AB22-4352-958D-C046DAAB22E7}" name="Total_QTY(kg)" dataDxfId="24"/>
    <tableColumn id="4" xr3:uid="{0337911B-B1A6-4F8E-90CC-B228DD90F4C6}" name="High_Quality_QTY" dataDxfId="23"/>
    <tableColumn id="5" xr3:uid="{95ACC3FC-7989-4E12-AA42-FED55605655B}" name="High_Quality_%" dataDxfId="22"/>
    <tableColumn id="6" xr3:uid="{B1B883BB-D064-43C6-A774-1D5ACC8F6F43}" name="Low_Quality_QTY" dataDxfId="21"/>
    <tableColumn id="7" xr3:uid="{3E39F1B5-07EB-4C3A-B04E-D4BC050044DC}" name="Low_Quality_%" dataDxfId="2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4A0639-57BE-4A2B-B401-A9E6E32B6204}" name="Table2" displayName="Table2" ref="E5:V17" totalsRowShown="0" headerRowDxfId="19" dataDxfId="18">
  <autoFilter ref="E5:V17" xr:uid="{854A0639-57BE-4A2B-B401-A9E6E32B6204}"/>
  <sortState xmlns:xlrd2="http://schemas.microsoft.com/office/spreadsheetml/2017/richdata2" ref="E6:V17">
    <sortCondition descending="1" ref="V5:V17"/>
  </sortState>
  <tableColumns count="18">
    <tableColumn id="1" xr3:uid="{21817AA5-DEBF-4B58-8450-30D2D8078AFC}" name="S_ID" dataDxfId="17"/>
    <tableColumn id="2" xr3:uid="{98F0A26E-3EC7-4563-835C-8DE14345F666}" name="S_Name" dataDxfId="16"/>
    <tableColumn id="3" xr3:uid="{B0C7926C-821C-4DF4-B600-B19D536BBEA9}" name="Season" dataDxfId="15"/>
    <tableColumn id="4" xr3:uid="{E528D112-7B03-4B11-90B4-29E20D7C996E}" name="Premium_QTY" dataDxfId="14"/>
    <tableColumn id="12" xr3:uid="{6926F136-4D16-4013-8C76-F9697376D8D4}" name="Premium_%" dataDxfId="13" dataCellStyle="Percent">
      <calculatedColumnFormula>Table2[[#This Row],[Premium_QTY]]/Table2[[#This Row],[Total_QTY(kg)]]</calculatedColumnFormula>
    </tableColumn>
    <tableColumn id="5" xr3:uid="{2BD1D6A2-2F00-4194-8A0B-5289D7C88E07}" name="Delight_QTY" dataDxfId="12"/>
    <tableColumn id="14" xr3:uid="{B0CED9C0-D89A-4393-B813-520A6832F163}" name="Delight_%" dataDxfId="11" dataCellStyle="Percent">
      <calculatedColumnFormula>Table2[[#This Row],[Delight_QTY]]/Table2[[#This Row],[Total_QTY(kg)]]</calculatedColumnFormula>
    </tableColumn>
    <tableColumn id="6" xr3:uid="{15D2F749-1B95-4736-B4DD-B31553D3C6CC}" name="Classic_QTY" dataDxfId="10"/>
    <tableColumn id="15" xr3:uid="{D8AC7C1D-EDA3-469C-A39F-65A6670AF3D6}" name="Classic_%" dataDxfId="9" dataCellStyle="Percent">
      <calculatedColumnFormula>Table2[[#This Row],[Classic_QTY]]/Table2[[#This Row],[Total_QTY(kg)]]</calculatedColumnFormula>
    </tableColumn>
    <tableColumn id="7" xr3:uid="{C74372B7-B817-4EDF-9F30-D44A726823E6}" name="G4_QTY" dataDxfId="8"/>
    <tableColumn id="16" xr3:uid="{27837F6D-FF4F-4A55-BCB8-3DD0641B83B0}" name="G4_%" dataDxfId="7" dataCellStyle="Percent">
      <calculatedColumnFormula>Table2[[#This Row],[G4_QTY]]/Table2[[#This Row],[Total_QTY(kg)]]</calculatedColumnFormula>
    </tableColumn>
    <tableColumn id="8" xr3:uid="{65AE2C11-FE5B-4EC5-9FCF-BB0F9FDB62E4}" name="Golden_Crowen_QTY" dataDxfId="6"/>
    <tableColumn id="17" xr3:uid="{52888AF3-E60F-4C4C-8A63-1163C3509E66}" name="Golden_Crowen_%" dataDxfId="5" dataCellStyle="Percent">
      <calculatedColumnFormula>Table2[[#This Row],[Golden_Crowen_QTY]]/Table2[[#This Row],[Total_QTY(kg)]]</calculatedColumnFormula>
    </tableColumn>
    <tableColumn id="9" xr3:uid="{AC6DBC1A-4ECB-419F-965E-815540229BB6}" name="Baby_Small_QTY" dataDxfId="4"/>
    <tableColumn id="18" xr3:uid="{2FC1B0B9-B11A-4BE5-99C7-6ACF719E241C}" name="Baby_Small_%" dataDxfId="3" dataCellStyle="Percent">
      <calculatedColumnFormula>Table2[[#This Row],[Baby_Small_QTY]]/Table2[[#This Row],[Total_QTY(kg)]]</calculatedColumnFormula>
    </tableColumn>
    <tableColumn id="10" xr3:uid="{1BCC2751-3CA1-469D-BB30-28E1091080E8}" name="Bon_Bon_QTY" dataDxfId="2"/>
    <tableColumn id="19" xr3:uid="{BDEC3ACC-922E-4D7E-BE57-E3F233FB263C}" name="Bon_Bon_%" dataDxfId="1" dataCellStyle="Percent">
      <calculatedColumnFormula>Table2[[#This Row],[Bon_Bon_QTY]]/Table2[[#This Row],[Total_QTY(kg)]]</calculatedColumnFormula>
    </tableColumn>
    <tableColumn id="11" xr3:uid="{6FDC9070-58A1-42DF-AA70-88ADEDF5C8EE}" name="Total_QTY(kg)" dataDxfId="0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009B47-1162-4630-BBE0-E3184C9A205A}" name="Table3" displayName="Table3" ref="D5:U17" totalsRowShown="0" headerRowDxfId="48" dataDxfId="47">
  <autoFilter ref="D5:U17" xr:uid="{12009B47-1162-4630-BBE0-E3184C9A205A}"/>
  <tableColumns count="18">
    <tableColumn id="1" xr3:uid="{5642B063-1FC3-4742-98D5-8169A765CC79}" name="S_ID" dataDxfId="46"/>
    <tableColumn id="2" xr3:uid="{82B6FEA3-6119-4D84-8F02-20AC382C9EB6}" name="S_Name" dataDxfId="45"/>
    <tableColumn id="3" xr3:uid="{F61DFF99-1D3C-4115-AE7F-CE6BCD7EA831}" name="Season" dataDxfId="44"/>
    <tableColumn id="4" xr3:uid="{ED410B49-6147-4AB3-9E3E-A6D26E6501B3}" name="Premium_QTY" dataDxfId="43"/>
    <tableColumn id="5" xr3:uid="{46B6AB5A-7462-4F84-864C-F8CAAF2AF88F}" name="Premium_%" dataDxfId="42" dataCellStyle="Percent">
      <calculatedColumnFormula>Table3[[#This Row],[Premium_QTY]]/$G$20</calculatedColumnFormula>
    </tableColumn>
    <tableColumn id="6" xr3:uid="{2EF74B15-E112-4DE4-A512-147ABAD5E512}" name="Delight_QTY" dataDxfId="41"/>
    <tableColumn id="7" xr3:uid="{DF5CA936-83BF-477D-80E1-C28B776AC099}" name="Delight_%" dataDxfId="40" dataCellStyle="Percent">
      <calculatedColumnFormula>Table3[[#This Row],[Delight_QTY]]/$I$20</calculatedColumnFormula>
    </tableColumn>
    <tableColumn id="8" xr3:uid="{87360245-3610-48A3-9733-CD7C90F49814}" name="Classic_QTY" dataDxfId="39"/>
    <tableColumn id="9" xr3:uid="{036D753D-FEA6-42F8-8B4C-E458BCDB3661}" name="Classic_%" dataDxfId="38" dataCellStyle="Percent">
      <calculatedColumnFormula>Table3[[#This Row],[Classic_QTY]]/$K$20</calculatedColumnFormula>
    </tableColumn>
    <tableColumn id="10" xr3:uid="{E45B0890-6E9F-4E7D-A64C-9044C7D78D81}" name="G4_QTY" dataDxfId="37"/>
    <tableColumn id="11" xr3:uid="{B68689D6-BB5C-43EE-AB25-8C8ED86DD5B5}" name="G4_%" dataDxfId="36" dataCellStyle="Percent">
      <calculatedColumnFormula>Table3[[#This Row],[G4_QTY]]/$M$20</calculatedColumnFormula>
    </tableColumn>
    <tableColumn id="12" xr3:uid="{47FB7732-1D16-4729-A01D-690B138E2CBF}" name="Golden_Crowen_QTY" dataDxfId="35"/>
    <tableColumn id="13" xr3:uid="{533D3703-FE6D-48E6-B1B7-FE18DC0F84BF}" name="Golden_Crowen_%" dataDxfId="34" dataCellStyle="Percent">
      <calculatedColumnFormula>Table3[[#This Row],[Golden_Crowen_QTY]]/$O$20</calculatedColumnFormula>
    </tableColumn>
    <tableColumn id="14" xr3:uid="{9DA4C08A-4CBA-4172-8D8E-299B5CAC9A66}" name="Baby_Small_QTY" dataDxfId="33"/>
    <tableColumn id="15" xr3:uid="{829EEF0D-5DB0-4498-858B-AC2FE91D60DA}" name="Baby_Small_%" dataDxfId="32" dataCellStyle="Percent">
      <calculatedColumnFormula>Table3[[#This Row],[Baby_Small_QTY]]/$Q$20</calculatedColumnFormula>
    </tableColumn>
    <tableColumn id="16" xr3:uid="{81AC49C2-D9C5-4DB9-BBEB-D70915F2ECE6}" name="Bon_Bon_QTY" dataDxfId="31"/>
    <tableColumn id="17" xr3:uid="{D9ACEDE4-4C19-4392-885F-9BED31A221CC}" name="Bon_Bon_%" dataDxfId="30" dataCellStyle="Percent">
      <calculatedColumnFormula>Table3[[#This Row],[Bon_Bon_QTY]]/$S$20</calculatedColumnFormula>
    </tableColumn>
    <tableColumn id="18" xr3:uid="{1DCA6168-2100-4D1C-BC00-79A94FBF4B1D}" name="Total_QTY(kg)" dataDxfId="2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BB50-3A52-4B98-B50A-5EF9A9D81CA6}">
  <dimension ref="E1:K17"/>
  <sheetViews>
    <sheetView showGridLines="0" tabSelected="1" zoomScale="85" zoomScaleNormal="85" workbookViewId="0">
      <selection activeCell="M7" sqref="M7"/>
    </sheetView>
  </sheetViews>
  <sheetFormatPr defaultRowHeight="15" x14ac:dyDescent="0.25"/>
  <cols>
    <col min="5" max="5" width="8.5703125" bestFit="1" customWidth="1"/>
    <col min="6" max="6" width="17.7109375" bestFit="1" customWidth="1"/>
    <col min="7" max="7" width="19.28515625" bestFit="1" customWidth="1"/>
    <col min="8" max="8" width="24" bestFit="1" customWidth="1"/>
    <col min="9" max="9" width="21.28515625" bestFit="1" customWidth="1"/>
    <col min="10" max="10" width="23.28515625" bestFit="1" customWidth="1"/>
    <col min="11" max="11" width="20.7109375" bestFit="1" customWidth="1"/>
  </cols>
  <sheetData>
    <row r="1" spans="5:11" ht="15.75" thickBot="1" x14ac:dyDescent="0.3"/>
    <row r="2" spans="5:11" x14ac:dyDescent="0.25">
      <c r="E2" s="24" t="s">
        <v>31</v>
      </c>
      <c r="F2" s="25"/>
      <c r="G2" s="25"/>
      <c r="H2" s="25"/>
      <c r="I2" s="25"/>
      <c r="J2" s="25"/>
      <c r="K2" s="26"/>
    </row>
    <row r="3" spans="5:11" x14ac:dyDescent="0.25">
      <c r="E3" s="27"/>
      <c r="F3" s="28"/>
      <c r="G3" s="28"/>
      <c r="H3" s="28"/>
      <c r="I3" s="28"/>
      <c r="J3" s="28"/>
      <c r="K3" s="29"/>
    </row>
    <row r="4" spans="5:11" x14ac:dyDescent="0.25">
      <c r="E4" s="1"/>
      <c r="F4" s="16"/>
      <c r="G4" s="16"/>
      <c r="H4" s="16"/>
      <c r="I4" s="16"/>
      <c r="J4" s="16"/>
      <c r="K4" s="2"/>
    </row>
    <row r="5" spans="5:11" ht="18.75" x14ac:dyDescent="0.25">
      <c r="E5" s="3" t="s">
        <v>0</v>
      </c>
      <c r="F5" s="17" t="s">
        <v>23</v>
      </c>
      <c r="G5" s="17" t="s">
        <v>26</v>
      </c>
      <c r="H5" s="17" t="s">
        <v>27</v>
      </c>
      <c r="I5" s="17" t="s">
        <v>28</v>
      </c>
      <c r="J5" s="17" t="s">
        <v>29</v>
      </c>
      <c r="K5" s="4" t="s">
        <v>30</v>
      </c>
    </row>
    <row r="6" spans="5:11" ht="18.75" x14ac:dyDescent="0.25">
      <c r="E6" s="3" t="s">
        <v>3</v>
      </c>
      <c r="F6" s="17" t="s">
        <v>24</v>
      </c>
      <c r="G6" s="18">
        <v>172326.95</v>
      </c>
      <c r="H6" s="18">
        <v>126455.75000000001</v>
      </c>
      <c r="I6" s="5">
        <f>Table1[[#This Row],[High_Quality_QTY]]/Table1[[#This Row],[Total_QTY(kg)]]</f>
        <v>0.73381296425196407</v>
      </c>
      <c r="J6" s="18">
        <v>45871.199999999997</v>
      </c>
      <c r="K6" s="6">
        <f>Table1[[#This Row],[Low_Quality_QTY]]/Table1[[#This Row],[Total_QTY(kg)]]</f>
        <v>0.26618703574803587</v>
      </c>
    </row>
    <row r="7" spans="5:11" ht="18.75" x14ac:dyDescent="0.25">
      <c r="E7" s="3" t="s">
        <v>4</v>
      </c>
      <c r="F7" s="17" t="s">
        <v>25</v>
      </c>
      <c r="G7" s="19">
        <v>91295</v>
      </c>
      <c r="H7" s="19">
        <v>58555</v>
      </c>
      <c r="I7" s="5">
        <f>Table1[[#This Row],[High_Quality_QTY]]/Table1[[#This Row],[Total_QTY(kg)]]</f>
        <v>0.6413823320006572</v>
      </c>
      <c r="J7" s="19">
        <v>30870</v>
      </c>
      <c r="K7" s="6">
        <f>Table1[[#This Row],[Low_Quality_QTY]]/Table1[[#This Row],[Total_QTY(kg)]]</f>
        <v>0.33813461854427951</v>
      </c>
    </row>
    <row r="8" spans="5:11" ht="18.75" x14ac:dyDescent="0.25">
      <c r="E8" s="3" t="s">
        <v>21</v>
      </c>
      <c r="F8" s="17" t="s">
        <v>22</v>
      </c>
      <c r="G8" s="19">
        <v>69000</v>
      </c>
      <c r="H8" s="19">
        <v>54999.999999999993</v>
      </c>
      <c r="I8" s="5">
        <f>Table1[[#This Row],[High_Quality_QTY]]/Table1[[#This Row],[Total_QTY(kg)]]</f>
        <v>0.79710144927536219</v>
      </c>
      <c r="J8" s="19">
        <v>14000</v>
      </c>
      <c r="K8" s="6">
        <f>Table1[[#This Row],[Low_Quality_QTY]]/Table1[[#This Row],[Total_QTY(kg)]]</f>
        <v>0.20289855072463769</v>
      </c>
    </row>
    <row r="9" spans="5:11" ht="18.75" x14ac:dyDescent="0.25">
      <c r="E9" s="3" t="s">
        <v>2</v>
      </c>
      <c r="F9" s="17" t="s">
        <v>1</v>
      </c>
      <c r="G9" s="19">
        <v>54090</v>
      </c>
      <c r="H9" s="19">
        <v>5335</v>
      </c>
      <c r="I9" s="5">
        <f>Table1[[#This Row],[High_Quality_QTY]]/Table1[[#This Row],[Total_QTY(kg)]]</f>
        <v>9.8631909779996307E-2</v>
      </c>
      <c r="J9" s="19">
        <v>48755</v>
      </c>
      <c r="K9" s="6">
        <f>Table1[[#This Row],[Low_Quality_QTY]]/Table1[[#This Row],[Total_QTY(kg)]]</f>
        <v>0.90136809022000375</v>
      </c>
    </row>
    <row r="10" spans="5:11" ht="18.75" x14ac:dyDescent="0.25">
      <c r="E10" s="3" t="s">
        <v>11</v>
      </c>
      <c r="F10" s="17" t="s">
        <v>12</v>
      </c>
      <c r="G10" s="19">
        <v>34350</v>
      </c>
      <c r="H10" s="19">
        <v>19054.999999999996</v>
      </c>
      <c r="I10" s="5">
        <f>Table1[[#This Row],[High_Quality_QTY]]/Table1[[#This Row],[Total_QTY(kg)]]</f>
        <v>0.55473071324599699</v>
      </c>
      <c r="J10" s="19">
        <v>15295</v>
      </c>
      <c r="K10" s="6">
        <f>Table1[[#This Row],[Low_Quality_QTY]]/Table1[[#This Row],[Total_QTY(kg)]]</f>
        <v>0.4452692867540029</v>
      </c>
    </row>
    <row r="11" spans="5:11" ht="18.75" x14ac:dyDescent="0.25">
      <c r="E11" s="3" t="s">
        <v>15</v>
      </c>
      <c r="F11" s="17" t="s">
        <v>16</v>
      </c>
      <c r="G11" s="19">
        <v>22090</v>
      </c>
      <c r="H11" s="19">
        <v>14685</v>
      </c>
      <c r="I11" s="5">
        <f>Table1[[#This Row],[High_Quality_QTY]]/Table1[[#This Row],[Total_QTY(kg)]]</f>
        <v>0.66478044363965594</v>
      </c>
      <c r="J11" s="19">
        <v>7405</v>
      </c>
      <c r="K11" s="6">
        <f>Table1[[#This Row],[Low_Quality_QTY]]/Table1[[#This Row],[Total_QTY(kg)]]</f>
        <v>0.33521955636034406</v>
      </c>
    </row>
    <row r="12" spans="5:11" ht="18.75" x14ac:dyDescent="0.25">
      <c r="E12" s="3" t="s">
        <v>17</v>
      </c>
      <c r="F12" s="17" t="s">
        <v>18</v>
      </c>
      <c r="G12" s="19">
        <v>15125</v>
      </c>
      <c r="H12" s="19">
        <v>11125</v>
      </c>
      <c r="I12" s="5">
        <f>Table1[[#This Row],[High_Quality_QTY]]/Table1[[#This Row],[Total_QTY(kg)]]</f>
        <v>0.73553719008264462</v>
      </c>
      <c r="J12" s="19">
        <v>4000</v>
      </c>
      <c r="K12" s="6">
        <f>Table1[[#This Row],[Low_Quality_QTY]]/Table1[[#This Row],[Total_QTY(kg)]]</f>
        <v>0.26446280991735538</v>
      </c>
    </row>
    <row r="13" spans="5:11" ht="18.75" x14ac:dyDescent="0.25">
      <c r="E13" s="3" t="s">
        <v>19</v>
      </c>
      <c r="F13" s="17" t="s">
        <v>20</v>
      </c>
      <c r="G13" s="19">
        <v>10080</v>
      </c>
      <c r="H13" s="19">
        <v>10080</v>
      </c>
      <c r="I13" s="5">
        <f>Table1[[#This Row],[High_Quality_QTY]]/Table1[[#This Row],[Total_QTY(kg)]]</f>
        <v>1</v>
      </c>
      <c r="J13" s="19">
        <v>0</v>
      </c>
      <c r="K13" s="6">
        <f>Table1[[#This Row],[Low_Quality_QTY]]/Table1[[#This Row],[Total_QTY(kg)]]</f>
        <v>0</v>
      </c>
    </row>
    <row r="14" spans="5:11" ht="18.75" x14ac:dyDescent="0.25">
      <c r="E14" s="3" t="s">
        <v>7</v>
      </c>
      <c r="F14" s="17" t="s">
        <v>8</v>
      </c>
      <c r="G14" s="19">
        <v>8360</v>
      </c>
      <c r="H14" s="19">
        <v>5530</v>
      </c>
      <c r="I14" s="5">
        <f>Table1[[#This Row],[High_Quality_QTY]]/Table1[[#This Row],[Total_QTY(kg)]]</f>
        <v>0.66148325358851678</v>
      </c>
      <c r="J14" s="19">
        <v>2830</v>
      </c>
      <c r="K14" s="6">
        <f>Table1[[#This Row],[Low_Quality_QTY]]/Table1[[#This Row],[Total_QTY(kg)]]</f>
        <v>0.33851674641148327</v>
      </c>
    </row>
    <row r="15" spans="5:11" ht="18.75" x14ac:dyDescent="0.25">
      <c r="E15" s="3" t="s">
        <v>13</v>
      </c>
      <c r="F15" s="17" t="s">
        <v>14</v>
      </c>
      <c r="G15" s="19">
        <v>4505</v>
      </c>
      <c r="H15" s="19">
        <v>3280</v>
      </c>
      <c r="I15" s="5">
        <f>Table1[[#This Row],[High_Quality_QTY]]/Table1[[#This Row],[Total_QTY(kg)]]</f>
        <v>0.72807991120976689</v>
      </c>
      <c r="J15" s="19">
        <v>1225</v>
      </c>
      <c r="K15" s="6">
        <f>Table1[[#This Row],[Low_Quality_QTY]]/Table1[[#This Row],[Total_QTY(kg)]]</f>
        <v>0.27192008879023305</v>
      </c>
    </row>
    <row r="16" spans="5:11" ht="18.75" x14ac:dyDescent="0.25">
      <c r="E16" s="3" t="s">
        <v>9</v>
      </c>
      <c r="F16" s="17" t="s">
        <v>10</v>
      </c>
      <c r="G16" s="19">
        <v>2130</v>
      </c>
      <c r="H16" s="19">
        <v>1695</v>
      </c>
      <c r="I16" s="5">
        <f>Table1[[#This Row],[High_Quality_QTY]]/Table1[[#This Row],[Total_QTY(kg)]]</f>
        <v>0.79577464788732399</v>
      </c>
      <c r="J16" s="19">
        <v>435</v>
      </c>
      <c r="K16" s="6">
        <f>Table1[[#This Row],[Low_Quality_QTY]]/Table1[[#This Row],[Total_QTY(kg)]]</f>
        <v>0.20422535211267606</v>
      </c>
    </row>
    <row r="17" spans="5:11" ht="19.5" thickBot="1" x14ac:dyDescent="0.3">
      <c r="E17" s="7" t="s">
        <v>5</v>
      </c>
      <c r="F17" s="8" t="s">
        <v>6</v>
      </c>
      <c r="G17" s="9">
        <v>1925</v>
      </c>
      <c r="H17" s="9">
        <v>1375</v>
      </c>
      <c r="I17" s="10">
        <f>Table1[[#This Row],[High_Quality_QTY]]/Table1[[#This Row],[Total_QTY(kg)]]</f>
        <v>0.7142857142857143</v>
      </c>
      <c r="J17" s="9">
        <v>550</v>
      </c>
      <c r="K17" s="11">
        <f>Table1[[#This Row],[Low_Quality_QTY]]/Table1[[#This Row],[Total_QTY(kg)]]</f>
        <v>0.2857142857142857</v>
      </c>
    </row>
  </sheetData>
  <sheetProtection algorithmName="SHA-512" hashValue="9ikSqDY8c8jdSxprbTmmoWIdEjJ+LFhJQjxfbpGg2ICKk7i2slT4NXXS6tF8qSUtWByjW136axqIdqyGNsoe7g==" saltValue="1Q3izKwSqGTxkJwEg9WAgg==" spinCount="100000" sheet="1" formatCells="0" formatColumns="0" formatRows="0" insertColumns="0" insertRows="0" insertHyperlinks="0" deleteColumns="0" deleteRows="0" sort="0" autoFilter="0" pivotTables="0"/>
  <mergeCells count="1">
    <mergeCell ref="E2:K3"/>
  </mergeCells>
  <conditionalFormatting sqref="I5:I17 K5:K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{CF1FF874-6135-4D96-8D74-FBF17B83EF4E}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1FF874-6135-4D96-8D74-FBF17B83EF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I5:I17 K5:K17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B239-566C-40F3-AEA9-7DDBF2A654AA}">
  <dimension ref="E2:V17"/>
  <sheetViews>
    <sheetView topLeftCell="C1" zoomScale="70" zoomScaleNormal="70" workbookViewId="0">
      <selection activeCell="G26" sqref="G26"/>
    </sheetView>
  </sheetViews>
  <sheetFormatPr defaultRowHeight="15" x14ac:dyDescent="0.25"/>
  <cols>
    <col min="5" max="5" width="11.5703125" bestFit="1" customWidth="1"/>
    <col min="6" max="6" width="17.85546875" bestFit="1" customWidth="1"/>
    <col min="7" max="7" width="14.7109375" bestFit="1" customWidth="1"/>
    <col min="8" max="8" width="22.5703125" bestFit="1" customWidth="1"/>
    <col min="9" max="9" width="20.140625" bestFit="1" customWidth="1"/>
    <col min="10" max="10" width="20.28515625" bestFit="1" customWidth="1"/>
    <col min="11" max="11" width="17.7109375" bestFit="1" customWidth="1"/>
    <col min="12" max="12" width="20.42578125" bestFit="1" customWidth="1"/>
    <col min="13" max="13" width="17.85546875" bestFit="1" customWidth="1"/>
    <col min="14" max="14" width="15.28515625" bestFit="1" customWidth="1"/>
    <col min="15" max="15" width="12.85546875" bestFit="1" customWidth="1"/>
    <col min="16" max="16" width="30.7109375" bestFit="1" customWidth="1"/>
    <col min="17" max="17" width="28.28515625" bestFit="1" customWidth="1"/>
    <col min="18" max="18" width="25.42578125" bestFit="1" customWidth="1"/>
    <col min="19" max="19" width="22.85546875" bestFit="1" customWidth="1"/>
    <col min="20" max="20" width="21.85546875" bestFit="1" customWidth="1"/>
    <col min="21" max="21" width="19.28515625" bestFit="1" customWidth="1"/>
    <col min="22" max="22" width="21.85546875" bestFit="1" customWidth="1"/>
  </cols>
  <sheetData>
    <row r="2" spans="5:22" x14ac:dyDescent="0.25">
      <c r="E2" s="30" t="s">
        <v>47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5:22" x14ac:dyDescent="0.25"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5" spans="5:22" ht="18.75" x14ac:dyDescent="0.25">
      <c r="E5" s="12" t="s">
        <v>0</v>
      </c>
      <c r="F5" s="12" t="s">
        <v>23</v>
      </c>
      <c r="G5" s="12" t="s">
        <v>32</v>
      </c>
      <c r="H5" s="12" t="s">
        <v>33</v>
      </c>
      <c r="I5" s="12" t="s">
        <v>34</v>
      </c>
      <c r="J5" s="12" t="s">
        <v>35</v>
      </c>
      <c r="K5" s="12" t="s">
        <v>36</v>
      </c>
      <c r="L5" s="12" t="s">
        <v>37</v>
      </c>
      <c r="M5" s="12" t="s">
        <v>38</v>
      </c>
      <c r="N5" s="12" t="s">
        <v>39</v>
      </c>
      <c r="O5" s="12" t="s">
        <v>40</v>
      </c>
      <c r="P5" s="12" t="s">
        <v>41</v>
      </c>
      <c r="Q5" s="12" t="s">
        <v>42</v>
      </c>
      <c r="R5" s="12" t="s">
        <v>43</v>
      </c>
      <c r="S5" s="12" t="s">
        <v>44</v>
      </c>
      <c r="T5" s="12" t="s">
        <v>45</v>
      </c>
      <c r="U5" s="12" t="s">
        <v>46</v>
      </c>
      <c r="V5" s="12" t="s">
        <v>26</v>
      </c>
    </row>
    <row r="6" spans="5:22" ht="18.75" x14ac:dyDescent="0.25">
      <c r="E6" s="12" t="s">
        <v>3</v>
      </c>
      <c r="F6" s="12" t="s">
        <v>24</v>
      </c>
      <c r="G6" s="12">
        <v>2025</v>
      </c>
      <c r="H6" s="13">
        <v>87129.560000000012</v>
      </c>
      <c r="I6" s="14">
        <f>Table2[[#This Row],[Premium_QTY]]/Table2[[#This Row],[Total_QTY(kg)]]</f>
        <v>0.50560611674494327</v>
      </c>
      <c r="J6" s="13">
        <v>39326.19</v>
      </c>
      <c r="K6" s="14">
        <f>Table2[[#This Row],[Delight_QTY]]/Table2[[#This Row],[Total_QTY(kg)]]</f>
        <v>0.2282068475070208</v>
      </c>
      <c r="L6" s="13">
        <v>34901.199999999997</v>
      </c>
      <c r="M6" s="14">
        <f>Table2[[#This Row],[Classic_QTY]]/Table2[[#This Row],[Total_QTY(kg)]]</f>
        <v>0.20252897181781487</v>
      </c>
      <c r="N6" s="15">
        <v>3825.0000000000005</v>
      </c>
      <c r="O6" s="14">
        <f>Table2[[#This Row],[G4_QTY]]/Table2[[#This Row],[Total_QTY(kg)]]</f>
        <v>2.2196179993901128E-2</v>
      </c>
      <c r="P6" s="15">
        <v>4860</v>
      </c>
      <c r="Q6" s="14">
        <f>Table2[[#This Row],[Golden_Crowen_QTY]]/Table2[[#This Row],[Total_QTY(kg)]]</f>
        <v>2.820220516872143E-2</v>
      </c>
      <c r="R6" s="15">
        <v>1400</v>
      </c>
      <c r="S6" s="14">
        <f>Table2[[#This Row],[Baby_Small_QTY]]/Table2[[#This Row],[Total_QTY(kg)]]</f>
        <v>8.1240920239115232E-3</v>
      </c>
      <c r="T6" s="15">
        <v>885</v>
      </c>
      <c r="U6" s="14">
        <f>Table2[[#This Row],[Bon_Bon_QTY]]/Table2[[#This Row],[Total_QTY(kg)]]</f>
        <v>5.1355867436869273E-3</v>
      </c>
      <c r="V6" s="13">
        <v>172326.95</v>
      </c>
    </row>
    <row r="7" spans="5:22" ht="18.75" x14ac:dyDescent="0.25">
      <c r="E7" s="12" t="s">
        <v>4</v>
      </c>
      <c r="F7" s="12" t="s">
        <v>25</v>
      </c>
      <c r="G7" s="12">
        <v>2025</v>
      </c>
      <c r="H7" s="15">
        <v>35905</v>
      </c>
      <c r="I7" s="14">
        <f>Table2[[#This Row],[Premium_QTY]]/Table2[[#This Row],[Total_QTY(kg)]]</f>
        <v>0.39328550303959692</v>
      </c>
      <c r="J7" s="15">
        <v>22650</v>
      </c>
      <c r="K7" s="14">
        <f>Table2[[#This Row],[Delight_QTY]]/Table2[[#This Row],[Total_QTY(kg)]]</f>
        <v>0.24809682896106031</v>
      </c>
      <c r="L7" s="15">
        <v>10915</v>
      </c>
      <c r="M7" s="14">
        <f>Table2[[#This Row],[Classic_QTY]]/Table2[[#This Row],[Total_QTY(kg)]]</f>
        <v>0.11955747850375158</v>
      </c>
      <c r="N7" s="15">
        <v>7900.0000000000009</v>
      </c>
      <c r="O7" s="14">
        <f>Table2[[#This Row],[G4_QTY]]/Table2[[#This Row],[Total_QTY(kg)]]</f>
        <v>8.6532668820855474E-2</v>
      </c>
      <c r="P7" s="15">
        <v>7900.0000000000009</v>
      </c>
      <c r="Q7" s="14">
        <f>Table2[[#This Row],[Golden_Crowen_QTY]]/Table2[[#This Row],[Total_QTY(kg)]]</f>
        <v>8.6532668820855474E-2</v>
      </c>
      <c r="R7" s="15">
        <v>2210</v>
      </c>
      <c r="S7" s="14">
        <f>Table2[[#This Row],[Baby_Small_QTY]]/Table2[[#This Row],[Total_QTY(kg)]]</f>
        <v>2.4207240265074759E-2</v>
      </c>
      <c r="T7" s="15">
        <v>1945</v>
      </c>
      <c r="U7" s="14">
        <f>Table2[[#This Row],[Bon_Bon_QTY]]/Table2[[#This Row],[Total_QTY(kg)]]</f>
        <v>2.1304562133742263E-2</v>
      </c>
      <c r="V7" s="15">
        <v>91295</v>
      </c>
    </row>
    <row r="8" spans="5:22" ht="18.75" x14ac:dyDescent="0.25">
      <c r="E8" s="12" t="s">
        <v>21</v>
      </c>
      <c r="F8" s="12" t="s">
        <v>22</v>
      </c>
      <c r="G8" s="12">
        <v>2025</v>
      </c>
      <c r="H8" s="15">
        <v>36999.999999999993</v>
      </c>
      <c r="I8" s="14">
        <f>Table2[[#This Row],[Premium_QTY]]/Table2[[#This Row],[Total_QTY(kg)]]</f>
        <v>0.53623188405797095</v>
      </c>
      <c r="J8" s="15">
        <v>18000</v>
      </c>
      <c r="K8" s="14">
        <f>Table2[[#This Row],[Delight_QTY]]/Table2[[#This Row],[Total_QTY(kg)]]</f>
        <v>0.2608695652173913</v>
      </c>
      <c r="L8" s="15">
        <v>0</v>
      </c>
      <c r="M8" s="14">
        <f>Table2[[#This Row],[Classic_QTY]]/Table2[[#This Row],[Total_QTY(kg)]]</f>
        <v>0</v>
      </c>
      <c r="N8" s="15">
        <v>14000</v>
      </c>
      <c r="O8" s="14">
        <f>Table2[[#This Row],[G4_QTY]]/Table2[[#This Row],[Total_QTY(kg)]]</f>
        <v>0.20289855072463769</v>
      </c>
      <c r="P8" s="15">
        <v>0</v>
      </c>
      <c r="Q8" s="14">
        <f>Table2[[#This Row],[Golden_Crowen_QTY]]/Table2[[#This Row],[Total_QTY(kg)]]</f>
        <v>0</v>
      </c>
      <c r="R8" s="15">
        <v>0</v>
      </c>
      <c r="S8" s="14">
        <f>Table2[[#This Row],[Baby_Small_QTY]]/Table2[[#This Row],[Total_QTY(kg)]]</f>
        <v>0</v>
      </c>
      <c r="T8" s="15">
        <v>0</v>
      </c>
      <c r="U8" s="14">
        <f>Table2[[#This Row],[Bon_Bon_QTY]]/Table2[[#This Row],[Total_QTY(kg)]]</f>
        <v>0</v>
      </c>
      <c r="V8" s="15">
        <v>69000</v>
      </c>
    </row>
    <row r="9" spans="5:22" ht="18.75" x14ac:dyDescent="0.25">
      <c r="E9" s="12" t="s">
        <v>2</v>
      </c>
      <c r="F9" s="12" t="s">
        <v>1</v>
      </c>
      <c r="G9" s="12">
        <v>2025</v>
      </c>
      <c r="H9" s="15">
        <v>220.00000000000003</v>
      </c>
      <c r="I9" s="14">
        <f>Table2[[#This Row],[Premium_QTY]]/Table2[[#This Row],[Total_QTY(kg)]]</f>
        <v>4.0672952486596418E-3</v>
      </c>
      <c r="J9" s="15">
        <v>5115</v>
      </c>
      <c r="K9" s="14">
        <f>Table2[[#This Row],[Delight_QTY]]/Table2[[#This Row],[Total_QTY(kg)]]</f>
        <v>9.456461453133666E-2</v>
      </c>
      <c r="L9" s="15">
        <v>8880</v>
      </c>
      <c r="M9" s="14">
        <f>Table2[[#This Row],[Classic_QTY]]/Table2[[#This Row],[Total_QTY(kg)]]</f>
        <v>0.1641708264004437</v>
      </c>
      <c r="N9" s="15">
        <v>32550</v>
      </c>
      <c r="O9" s="14">
        <f>Table2[[#This Row],[G4_QTY]]/Table2[[#This Row],[Total_QTY(kg)]]</f>
        <v>0.60177481974486968</v>
      </c>
      <c r="P9" s="15">
        <v>7270</v>
      </c>
      <c r="Q9" s="14">
        <f>Table2[[#This Row],[Golden_Crowen_QTY]]/Table2[[#This Row],[Total_QTY(kg)]]</f>
        <v>0.13440562026252542</v>
      </c>
      <c r="R9" s="15">
        <v>50</v>
      </c>
      <c r="S9" s="14">
        <f>Table2[[#This Row],[Baby_Small_QTY]]/Table2[[#This Row],[Total_QTY(kg)]]</f>
        <v>9.2438528378628213E-4</v>
      </c>
      <c r="T9" s="15">
        <v>5</v>
      </c>
      <c r="U9" s="14">
        <f>Table2[[#This Row],[Bon_Bon_QTY]]/Table2[[#This Row],[Total_QTY(kg)]]</f>
        <v>9.2438528378628216E-5</v>
      </c>
      <c r="V9" s="15">
        <v>54090</v>
      </c>
    </row>
    <row r="10" spans="5:22" ht="18.75" x14ac:dyDescent="0.25">
      <c r="E10" s="12" t="s">
        <v>11</v>
      </c>
      <c r="F10" s="12" t="s">
        <v>12</v>
      </c>
      <c r="G10" s="12">
        <v>2025</v>
      </c>
      <c r="H10" s="15">
        <v>7909.9999999999991</v>
      </c>
      <c r="I10" s="14">
        <f>Table2[[#This Row],[Premium_QTY]]/Table2[[#This Row],[Total_QTY(kg)]]</f>
        <v>0.23027656477438135</v>
      </c>
      <c r="J10" s="15">
        <v>11144.999999999998</v>
      </c>
      <c r="K10" s="14">
        <f>Table2[[#This Row],[Delight_QTY]]/Table2[[#This Row],[Total_QTY(kg)]]</f>
        <v>0.32445414847161569</v>
      </c>
      <c r="L10" s="15">
        <v>6260</v>
      </c>
      <c r="M10" s="14">
        <f>Table2[[#This Row],[Classic_QTY]]/Table2[[#This Row],[Total_QTY(kg)]]</f>
        <v>0.18224163027656479</v>
      </c>
      <c r="N10" s="15">
        <v>4980</v>
      </c>
      <c r="O10" s="14">
        <f>Table2[[#This Row],[G4_QTY]]/Table2[[#This Row],[Total_QTY(kg)]]</f>
        <v>0.14497816593886462</v>
      </c>
      <c r="P10" s="15">
        <v>3920</v>
      </c>
      <c r="Q10" s="14">
        <f>Table2[[#This Row],[Golden_Crowen_QTY]]/Table2[[#This Row],[Total_QTY(kg)]]</f>
        <v>0.1141193595342067</v>
      </c>
      <c r="R10" s="15">
        <v>70</v>
      </c>
      <c r="S10" s="14">
        <f>Table2[[#This Row],[Baby_Small_QTY]]/Table2[[#This Row],[Total_QTY(kg)]]</f>
        <v>2.0378457059679767E-3</v>
      </c>
      <c r="T10" s="15">
        <v>65</v>
      </c>
      <c r="U10" s="14">
        <f>Table2[[#This Row],[Bon_Bon_QTY]]/Table2[[#This Row],[Total_QTY(kg)]]</f>
        <v>1.8922852983988354E-3</v>
      </c>
      <c r="V10" s="15">
        <v>34350</v>
      </c>
    </row>
    <row r="11" spans="5:22" ht="18.75" x14ac:dyDescent="0.25">
      <c r="E11" s="12" t="s">
        <v>15</v>
      </c>
      <c r="F11" s="12" t="s">
        <v>16</v>
      </c>
      <c r="G11" s="12">
        <v>2025</v>
      </c>
      <c r="H11" s="15">
        <v>8060</v>
      </c>
      <c r="I11" s="14">
        <f>Table2[[#This Row],[Premium_QTY]]/Table2[[#This Row],[Total_QTY(kg)]]</f>
        <v>0.36487098234495247</v>
      </c>
      <c r="J11" s="15">
        <v>6625</v>
      </c>
      <c r="K11" s="14">
        <f>Table2[[#This Row],[Delight_QTY]]/Table2[[#This Row],[Total_QTY(kg)]]</f>
        <v>0.29990946129470347</v>
      </c>
      <c r="L11" s="15">
        <v>1290</v>
      </c>
      <c r="M11" s="14">
        <f>Table2[[#This Row],[Classic_QTY]]/Table2[[#This Row],[Total_QTY(kg)]]</f>
        <v>5.8397464916251696E-2</v>
      </c>
      <c r="N11" s="15">
        <v>1615</v>
      </c>
      <c r="O11" s="14">
        <f>Table2[[#This Row],[G4_QTY]]/Table2[[#This Row],[Total_QTY(kg)]]</f>
        <v>7.3110004526935266E-2</v>
      </c>
      <c r="P11" s="15">
        <v>3275</v>
      </c>
      <c r="Q11" s="14">
        <f>Table2[[#This Row],[Golden_Crowen_QTY]]/Table2[[#This Row],[Total_QTY(kg)]]</f>
        <v>0.1482571299230421</v>
      </c>
      <c r="R11" s="15">
        <v>650</v>
      </c>
      <c r="S11" s="14">
        <f>Table2[[#This Row],[Baby_Small_QTY]]/Table2[[#This Row],[Total_QTY(kg)]]</f>
        <v>2.9425079221367133E-2</v>
      </c>
      <c r="T11" s="15">
        <v>575</v>
      </c>
      <c r="U11" s="14">
        <f>Table2[[#This Row],[Bon_Bon_QTY]]/Table2[[#This Row],[Total_QTY(kg)]]</f>
        <v>2.6029877772747848E-2</v>
      </c>
      <c r="V11" s="15">
        <v>22090</v>
      </c>
    </row>
    <row r="12" spans="5:22" ht="18.75" x14ac:dyDescent="0.25">
      <c r="E12" s="12" t="s">
        <v>17</v>
      </c>
      <c r="F12" s="12" t="s">
        <v>18</v>
      </c>
      <c r="G12" s="12">
        <v>2025</v>
      </c>
      <c r="H12" s="15">
        <v>3124.9999999999995</v>
      </c>
      <c r="I12" s="14">
        <f>Table2[[#This Row],[Premium_QTY]]/Table2[[#This Row],[Total_QTY(kg)]]</f>
        <v>0.20661157024793386</v>
      </c>
      <c r="J12" s="15">
        <v>8000</v>
      </c>
      <c r="K12" s="14">
        <f>Table2[[#This Row],[Delight_QTY]]/Table2[[#This Row],[Total_QTY(kg)]]</f>
        <v>0.52892561983471076</v>
      </c>
      <c r="L12" s="15">
        <v>0</v>
      </c>
      <c r="M12" s="14">
        <f>Table2[[#This Row],[Classic_QTY]]/Table2[[#This Row],[Total_QTY(kg)]]</f>
        <v>0</v>
      </c>
      <c r="N12" s="15">
        <v>4000</v>
      </c>
      <c r="O12" s="14">
        <f>Table2[[#This Row],[G4_QTY]]/Table2[[#This Row],[Total_QTY(kg)]]</f>
        <v>0.26446280991735538</v>
      </c>
      <c r="P12" s="15">
        <v>0</v>
      </c>
      <c r="Q12" s="14">
        <f>Table2[[#This Row],[Golden_Crowen_QTY]]/Table2[[#This Row],[Total_QTY(kg)]]</f>
        <v>0</v>
      </c>
      <c r="R12" s="15">
        <v>0</v>
      </c>
      <c r="S12" s="14">
        <f>Table2[[#This Row],[Baby_Small_QTY]]/Table2[[#This Row],[Total_QTY(kg)]]</f>
        <v>0</v>
      </c>
      <c r="T12" s="15">
        <v>0</v>
      </c>
      <c r="U12" s="14">
        <f>Table2[[#This Row],[Bon_Bon_QTY]]/Table2[[#This Row],[Total_QTY(kg)]]</f>
        <v>0</v>
      </c>
      <c r="V12" s="15">
        <v>15125</v>
      </c>
    </row>
    <row r="13" spans="5:22" ht="18.75" x14ac:dyDescent="0.25">
      <c r="E13" s="12" t="s">
        <v>19</v>
      </c>
      <c r="F13" s="12" t="s">
        <v>20</v>
      </c>
      <c r="G13" s="12">
        <v>2025</v>
      </c>
      <c r="H13" s="15">
        <v>10080</v>
      </c>
      <c r="I13" s="14">
        <f>Table2[[#This Row],[Premium_QTY]]/Table2[[#This Row],[Total_QTY(kg)]]</f>
        <v>1</v>
      </c>
      <c r="J13" s="15">
        <v>0</v>
      </c>
      <c r="K13" s="14">
        <f>Table2[[#This Row],[Delight_QTY]]/Table2[[#This Row],[Total_QTY(kg)]]</f>
        <v>0</v>
      </c>
      <c r="L13" s="15">
        <v>0</v>
      </c>
      <c r="M13" s="14">
        <f>Table2[[#This Row],[Classic_QTY]]/Table2[[#This Row],[Total_QTY(kg)]]</f>
        <v>0</v>
      </c>
      <c r="N13" s="15">
        <v>0</v>
      </c>
      <c r="O13" s="14">
        <f>Table2[[#This Row],[G4_QTY]]/Table2[[#This Row],[Total_QTY(kg)]]</f>
        <v>0</v>
      </c>
      <c r="P13" s="15">
        <v>0</v>
      </c>
      <c r="Q13" s="14">
        <f>Table2[[#This Row],[Golden_Crowen_QTY]]/Table2[[#This Row],[Total_QTY(kg)]]</f>
        <v>0</v>
      </c>
      <c r="R13" s="15">
        <v>0</v>
      </c>
      <c r="S13" s="14">
        <f>Table2[[#This Row],[Baby_Small_QTY]]/Table2[[#This Row],[Total_QTY(kg)]]</f>
        <v>0</v>
      </c>
      <c r="T13" s="15">
        <v>0</v>
      </c>
      <c r="U13" s="14">
        <f>Table2[[#This Row],[Bon_Bon_QTY]]/Table2[[#This Row],[Total_QTY(kg)]]</f>
        <v>0</v>
      </c>
      <c r="V13" s="15">
        <v>10080</v>
      </c>
    </row>
    <row r="14" spans="5:22" ht="18.75" x14ac:dyDescent="0.25">
      <c r="E14" s="12" t="s">
        <v>7</v>
      </c>
      <c r="F14" s="12" t="s">
        <v>8</v>
      </c>
      <c r="G14" s="12">
        <v>2025</v>
      </c>
      <c r="H14" s="15">
        <v>2950</v>
      </c>
      <c r="I14" s="14">
        <f>Table2[[#This Row],[Premium_QTY]]/Table2[[#This Row],[Total_QTY(kg)]]</f>
        <v>0.35287081339712917</v>
      </c>
      <c r="J14" s="15">
        <v>2580</v>
      </c>
      <c r="K14" s="14">
        <f>Table2[[#This Row],[Delight_QTY]]/Table2[[#This Row],[Total_QTY(kg)]]</f>
        <v>0.30861244019138756</v>
      </c>
      <c r="L14" s="15">
        <v>340</v>
      </c>
      <c r="M14" s="14">
        <f>Table2[[#This Row],[Classic_QTY]]/Table2[[#This Row],[Total_QTY(kg)]]</f>
        <v>4.0669856459330141E-2</v>
      </c>
      <c r="N14" s="15">
        <v>1610</v>
      </c>
      <c r="O14" s="14">
        <f>Table2[[#This Row],[G4_QTY]]/Table2[[#This Row],[Total_QTY(kg)]]</f>
        <v>0.19258373205741627</v>
      </c>
      <c r="P14" s="15">
        <v>595</v>
      </c>
      <c r="Q14" s="14">
        <f>Table2[[#This Row],[Golden_Crowen_QTY]]/Table2[[#This Row],[Total_QTY(kg)]]</f>
        <v>7.1172248803827748E-2</v>
      </c>
      <c r="R14" s="15">
        <v>125</v>
      </c>
      <c r="S14" s="14">
        <f>Table2[[#This Row],[Baby_Small_QTY]]/Table2[[#This Row],[Total_QTY(kg)]]</f>
        <v>1.4952153110047847E-2</v>
      </c>
      <c r="T14" s="15">
        <v>160</v>
      </c>
      <c r="U14" s="14">
        <f>Table2[[#This Row],[Bon_Bon_QTY]]/Table2[[#This Row],[Total_QTY(kg)]]</f>
        <v>1.9138755980861243E-2</v>
      </c>
      <c r="V14" s="15">
        <v>8360</v>
      </c>
    </row>
    <row r="15" spans="5:22" ht="18.75" x14ac:dyDescent="0.25">
      <c r="E15" s="12" t="s">
        <v>13</v>
      </c>
      <c r="F15" s="12" t="s">
        <v>14</v>
      </c>
      <c r="G15" s="12">
        <v>2025</v>
      </c>
      <c r="H15" s="15">
        <v>2130</v>
      </c>
      <c r="I15" s="14">
        <f>Table2[[#This Row],[Premium_QTY]]/Table2[[#This Row],[Total_QTY(kg)]]</f>
        <v>0.47280799112097671</v>
      </c>
      <c r="J15" s="15">
        <v>1150</v>
      </c>
      <c r="K15" s="14">
        <f>Table2[[#This Row],[Delight_QTY]]/Table2[[#This Row],[Total_QTY(kg)]]</f>
        <v>0.25527192008879024</v>
      </c>
      <c r="L15" s="15">
        <v>195</v>
      </c>
      <c r="M15" s="14">
        <f>Table2[[#This Row],[Classic_QTY]]/Table2[[#This Row],[Total_QTY(kg)]]</f>
        <v>4.3285238623751388E-2</v>
      </c>
      <c r="N15" s="15">
        <v>155</v>
      </c>
      <c r="O15" s="14">
        <f>Table2[[#This Row],[G4_QTY]]/Table2[[#This Row],[Total_QTY(kg)]]</f>
        <v>3.4406215316315207E-2</v>
      </c>
      <c r="P15" s="15">
        <v>755</v>
      </c>
      <c r="Q15" s="14">
        <f>Table2[[#This Row],[Golden_Crowen_QTY]]/Table2[[#This Row],[Total_QTY(kg)]]</f>
        <v>0.16759156492785793</v>
      </c>
      <c r="R15" s="15">
        <v>65</v>
      </c>
      <c r="S15" s="14">
        <f>Table2[[#This Row],[Baby_Small_QTY]]/Table2[[#This Row],[Total_QTY(kg)]]</f>
        <v>1.4428412874583796E-2</v>
      </c>
      <c r="T15" s="15">
        <v>55</v>
      </c>
      <c r="U15" s="14">
        <f>Table2[[#This Row],[Bon_Bon_QTY]]/Table2[[#This Row],[Total_QTY(kg)]]</f>
        <v>1.2208657047724751E-2</v>
      </c>
      <c r="V15" s="15">
        <v>4505</v>
      </c>
    </row>
    <row r="16" spans="5:22" ht="18.75" x14ac:dyDescent="0.25">
      <c r="E16" s="12" t="s">
        <v>9</v>
      </c>
      <c r="F16" s="12" t="s">
        <v>10</v>
      </c>
      <c r="G16" s="12">
        <v>2025</v>
      </c>
      <c r="H16" s="15">
        <v>965</v>
      </c>
      <c r="I16" s="14">
        <f>Table2[[#This Row],[Premium_QTY]]/Table2[[#This Row],[Total_QTY(kg)]]</f>
        <v>0.45305164319248825</v>
      </c>
      <c r="J16" s="15">
        <v>730.00000000000011</v>
      </c>
      <c r="K16" s="14">
        <f>Table2[[#This Row],[Delight_QTY]]/Table2[[#This Row],[Total_QTY(kg)]]</f>
        <v>0.34272300469483574</v>
      </c>
      <c r="L16" s="15">
        <v>115</v>
      </c>
      <c r="M16" s="14">
        <f>Table2[[#This Row],[Classic_QTY]]/Table2[[#This Row],[Total_QTY(kg)]]</f>
        <v>5.39906103286385E-2</v>
      </c>
      <c r="N16" s="15">
        <v>225</v>
      </c>
      <c r="O16" s="14">
        <f>Table2[[#This Row],[G4_QTY]]/Table2[[#This Row],[Total_QTY(kg)]]</f>
        <v>0.10563380281690141</v>
      </c>
      <c r="P16" s="15">
        <v>85</v>
      </c>
      <c r="Q16" s="14">
        <f>Table2[[#This Row],[Golden_Crowen_QTY]]/Table2[[#This Row],[Total_QTY(kg)]]</f>
        <v>3.9906103286384977E-2</v>
      </c>
      <c r="R16" s="15">
        <v>0</v>
      </c>
      <c r="S16" s="14">
        <f>Table2[[#This Row],[Baby_Small_QTY]]/Table2[[#This Row],[Total_QTY(kg)]]</f>
        <v>0</v>
      </c>
      <c r="T16" s="15">
        <v>10</v>
      </c>
      <c r="U16" s="14">
        <f>Table2[[#This Row],[Bon_Bon_QTY]]/Table2[[#This Row],[Total_QTY(kg)]]</f>
        <v>4.6948356807511738E-3</v>
      </c>
      <c r="V16" s="15">
        <v>2130</v>
      </c>
    </row>
    <row r="17" spans="5:22" ht="18.75" x14ac:dyDescent="0.25">
      <c r="E17" s="12" t="s">
        <v>5</v>
      </c>
      <c r="F17" s="12" t="s">
        <v>6</v>
      </c>
      <c r="G17" s="12">
        <v>2025</v>
      </c>
      <c r="H17" s="15">
        <v>845</v>
      </c>
      <c r="I17" s="14">
        <f>Table2[[#This Row],[Premium_QTY]]/Table2[[#This Row],[Total_QTY(kg)]]</f>
        <v>0.43896103896103894</v>
      </c>
      <c r="J17" s="15">
        <v>530</v>
      </c>
      <c r="K17" s="14">
        <f>Table2[[#This Row],[Delight_QTY]]/Table2[[#This Row],[Total_QTY(kg)]]</f>
        <v>0.27532467532467531</v>
      </c>
      <c r="L17" s="15">
        <v>110</v>
      </c>
      <c r="M17" s="14">
        <f>Table2[[#This Row],[Classic_QTY]]/Table2[[#This Row],[Total_QTY(kg)]]</f>
        <v>5.7142857142857141E-2</v>
      </c>
      <c r="N17" s="15">
        <v>25</v>
      </c>
      <c r="O17" s="14">
        <f>Table2[[#This Row],[G4_QTY]]/Table2[[#This Row],[Total_QTY(kg)]]</f>
        <v>1.2987012987012988E-2</v>
      </c>
      <c r="P17" s="15">
        <v>335</v>
      </c>
      <c r="Q17" s="14">
        <f>Table2[[#This Row],[Golden_Crowen_QTY]]/Table2[[#This Row],[Total_QTY(kg)]]</f>
        <v>0.17402597402597403</v>
      </c>
      <c r="R17" s="15">
        <v>35</v>
      </c>
      <c r="S17" s="14">
        <f>Table2[[#This Row],[Baby_Small_QTY]]/Table2[[#This Row],[Total_QTY(kg)]]</f>
        <v>1.8181818181818181E-2</v>
      </c>
      <c r="T17" s="15">
        <v>45</v>
      </c>
      <c r="U17" s="14">
        <f>Table2[[#This Row],[Bon_Bon_QTY]]/Table2[[#This Row],[Total_QTY(kg)]]</f>
        <v>2.3376623376623377E-2</v>
      </c>
      <c r="V17" s="15">
        <v>1925</v>
      </c>
    </row>
  </sheetData>
  <sheetProtection algorithmName="SHA-512" hashValue="o2QBfxZwSNrVk6UbtFnsocEiUni2Uaw20aO5PIkpZIPwuK5J4VSKpI7Hxl1e5hOh2F0f2kk+aQ0ZJL8jBMuCrA==" saltValue="vgBrJa2y7rHTXKoUSnzEZA==" spinCount="100000" sheet="1" formatCells="0" formatColumns="0" formatRows="0" insertColumns="0" insertRows="0" insertHyperlinks="0" deleteColumns="0" deleteRows="0" sort="0" autoFilter="0" pivotTables="0"/>
  <mergeCells count="1">
    <mergeCell ref="E2:V3"/>
  </mergeCells>
  <phoneticPr fontId="4" type="noConversion"/>
  <conditionalFormatting sqref="I6:I17 K6:K17 M6:M17 O6:O17 Q6:Q17 S6:S17 U6:U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{39E132B4-9E31-45F6-81AB-5E3400EAF705}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E132B4-9E31-45F6-81AB-5E3400EAF7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I6:I17 K6:K17 M6:M17 O6:O17 Q6:Q17 S6:S17 U6:U17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2EC6-6079-4667-A72C-30E974EBB1DB}">
  <dimension ref="D2:U20"/>
  <sheetViews>
    <sheetView showGridLines="0" zoomScale="85" zoomScaleNormal="85" workbookViewId="0">
      <selection activeCell="F19" sqref="F19"/>
    </sheetView>
  </sheetViews>
  <sheetFormatPr defaultRowHeight="15" x14ac:dyDescent="0.25"/>
  <cols>
    <col min="4" max="4" width="10.85546875" bestFit="1" customWidth="1"/>
    <col min="5" max="5" width="17.7109375" bestFit="1" customWidth="1"/>
    <col min="6" max="6" width="14.140625" bestFit="1" customWidth="1"/>
    <col min="7" max="7" width="21.85546875" bestFit="1" customWidth="1"/>
    <col min="8" max="8" width="19.28515625" bestFit="1" customWidth="1"/>
    <col min="9" max="9" width="19.85546875" bestFit="1" customWidth="1"/>
    <col min="10" max="10" width="17.140625" bestFit="1" customWidth="1"/>
    <col min="11" max="11" width="20" bestFit="1" customWidth="1"/>
    <col min="12" max="12" width="17.28515625" bestFit="1" customWidth="1"/>
    <col min="13" max="13" width="14.7109375" bestFit="1" customWidth="1"/>
    <col min="14" max="14" width="12.140625" bestFit="1" customWidth="1"/>
    <col min="15" max="15" width="30" bestFit="1" customWidth="1"/>
    <col min="16" max="16" width="27.42578125" bestFit="1" customWidth="1"/>
    <col min="17" max="17" width="24.7109375" bestFit="1" customWidth="1"/>
    <col min="18" max="18" width="22.140625" bestFit="1" customWidth="1"/>
    <col min="19" max="19" width="21.7109375" bestFit="1" customWidth="1"/>
    <col min="20" max="20" width="19.140625" bestFit="1" customWidth="1"/>
    <col min="21" max="21" width="21.5703125" bestFit="1" customWidth="1"/>
  </cols>
  <sheetData>
    <row r="2" spans="4:21" x14ac:dyDescent="0.25">
      <c r="D2" s="23" t="s">
        <v>49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4:21" x14ac:dyDescent="0.25"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5" spans="4:21" ht="18.75" x14ac:dyDescent="0.25">
      <c r="D5" s="12" t="s">
        <v>0</v>
      </c>
      <c r="E5" s="12" t="s">
        <v>23</v>
      </c>
      <c r="F5" s="12" t="s">
        <v>32</v>
      </c>
      <c r="G5" s="12" t="s">
        <v>33</v>
      </c>
      <c r="H5" s="12" t="s">
        <v>34</v>
      </c>
      <c r="I5" s="12" t="s">
        <v>35</v>
      </c>
      <c r="J5" s="12" t="s">
        <v>36</v>
      </c>
      <c r="K5" s="12" t="s">
        <v>37</v>
      </c>
      <c r="L5" s="12" t="s">
        <v>38</v>
      </c>
      <c r="M5" s="12" t="s">
        <v>39</v>
      </c>
      <c r="N5" s="12" t="s">
        <v>40</v>
      </c>
      <c r="O5" s="12" t="s">
        <v>41</v>
      </c>
      <c r="P5" s="12" t="s">
        <v>42</v>
      </c>
      <c r="Q5" s="12" t="s">
        <v>43</v>
      </c>
      <c r="R5" s="12" t="s">
        <v>44</v>
      </c>
      <c r="S5" s="12" t="s">
        <v>45</v>
      </c>
      <c r="T5" s="12" t="s">
        <v>46</v>
      </c>
      <c r="U5" s="12" t="s">
        <v>26</v>
      </c>
    </row>
    <row r="6" spans="4:21" ht="18.75" x14ac:dyDescent="0.25">
      <c r="D6" s="12" t="s">
        <v>3</v>
      </c>
      <c r="E6" s="12" t="s">
        <v>24</v>
      </c>
      <c r="F6" s="12">
        <v>2025</v>
      </c>
      <c r="G6" s="15">
        <v>87129.560000000012</v>
      </c>
      <c r="H6" s="14">
        <f>Table3[[#This Row],[Premium_QTY]]/$G$20</f>
        <v>0.44381497187544638</v>
      </c>
      <c r="I6" s="15">
        <v>39326.19</v>
      </c>
      <c r="J6" s="14">
        <f>Table3[[#This Row],[Delight_QTY]]/$I$20</f>
        <v>0.33945434656303486</v>
      </c>
      <c r="K6" s="15">
        <v>34901.199999999997</v>
      </c>
      <c r="L6" s="14">
        <f>Table3[[#This Row],[Classic_QTY]]/$K$20</f>
        <v>0.55393278756693787</v>
      </c>
      <c r="M6" s="15">
        <v>3825.0000000000005</v>
      </c>
      <c r="N6" s="14">
        <f>Table3[[#This Row],[G4_QTY]]/$M$20</f>
        <v>5.3960640474007199E-2</v>
      </c>
      <c r="O6" s="15">
        <v>4860</v>
      </c>
      <c r="P6" s="14">
        <f>Table3[[#This Row],[Golden_Crowen_QTY]]/$O$20</f>
        <v>0.16761510605276772</v>
      </c>
      <c r="Q6" s="15">
        <v>1400</v>
      </c>
      <c r="R6" s="14">
        <f>Table3[[#This Row],[Baby_Small_QTY]]/$Q$20</f>
        <v>0.30401737242128124</v>
      </c>
      <c r="S6" s="15">
        <v>885</v>
      </c>
      <c r="T6" s="14">
        <f>Table3[[#This Row],[Bon_Bon_QTY]]/$S$20</f>
        <v>0.2363150867823765</v>
      </c>
      <c r="U6" s="15">
        <v>172326.95</v>
      </c>
    </row>
    <row r="7" spans="4:21" ht="18.75" x14ac:dyDescent="0.25">
      <c r="D7" s="12" t="s">
        <v>4</v>
      </c>
      <c r="E7" s="12" t="s">
        <v>25</v>
      </c>
      <c r="F7" s="12">
        <v>2025</v>
      </c>
      <c r="G7" s="15">
        <v>35905</v>
      </c>
      <c r="H7" s="14">
        <f>Table3[[#This Row],[Premium_QTY]]/$G$20</f>
        <v>0.18289058920058704</v>
      </c>
      <c r="I7" s="15">
        <v>22650</v>
      </c>
      <c r="J7" s="14">
        <f>Table3[[#This Row],[Delight_QTY]]/$I$20</f>
        <v>0.19550942894932716</v>
      </c>
      <c r="K7" s="15">
        <v>10915</v>
      </c>
      <c r="L7" s="14">
        <f>Table3[[#This Row],[Classic_QTY]]/$K$20</f>
        <v>0.17323691954125151</v>
      </c>
      <c r="M7" s="15">
        <v>7900.0000000000009</v>
      </c>
      <c r="N7" s="14">
        <f>Table3[[#This Row],[G4_QTY]]/$M$20</f>
        <v>0.11144812019468153</v>
      </c>
      <c r="O7" s="15">
        <v>7900.0000000000009</v>
      </c>
      <c r="P7" s="14">
        <f>Table3[[#This Row],[Golden_Crowen_QTY]]/$O$20</f>
        <v>0.27246076909812039</v>
      </c>
      <c r="Q7" s="15">
        <v>2210</v>
      </c>
      <c r="R7" s="14">
        <f>Table3[[#This Row],[Baby_Small_QTY]]/$Q$20</f>
        <v>0.47991313789359391</v>
      </c>
      <c r="S7" s="15">
        <v>1945</v>
      </c>
      <c r="T7" s="14">
        <f>Table3[[#This Row],[Bon_Bon_QTY]]/$S$20</f>
        <v>0.51935914552736984</v>
      </c>
      <c r="U7" s="15">
        <v>91295</v>
      </c>
    </row>
    <row r="8" spans="4:21" ht="18.75" x14ac:dyDescent="0.25">
      <c r="D8" s="12" t="s">
        <v>21</v>
      </c>
      <c r="E8" s="12" t="s">
        <v>22</v>
      </c>
      <c r="F8" s="12">
        <v>2025</v>
      </c>
      <c r="G8" s="15">
        <v>36999.999999999993</v>
      </c>
      <c r="H8" s="14">
        <f>Table3[[#This Row],[Premium_QTY]]/$G$20</f>
        <v>0.18846823006327026</v>
      </c>
      <c r="I8" s="15">
        <v>18000</v>
      </c>
      <c r="J8" s="14">
        <f>Table3[[#This Row],[Delight_QTY]]/$I$20</f>
        <v>0.15537173161535933</v>
      </c>
      <c r="K8" s="15">
        <v>0</v>
      </c>
      <c r="L8" s="14">
        <f>Table3[[#This Row],[Classic_QTY]]/$K$20</f>
        <v>0</v>
      </c>
      <c r="M8" s="15">
        <v>14000</v>
      </c>
      <c r="N8" s="14">
        <f>Table3[[#This Row],[G4_QTY]]/$M$20</f>
        <v>0.19750299781335967</v>
      </c>
      <c r="O8" s="15">
        <v>0</v>
      </c>
      <c r="P8" s="14">
        <f>Table3[[#This Row],[Golden_Crowen_QTY]]/$O$20</f>
        <v>0</v>
      </c>
      <c r="Q8" s="15">
        <v>0</v>
      </c>
      <c r="R8" s="14">
        <f>Table3[[#This Row],[Baby_Small_QTY]]/$Q$20</f>
        <v>0</v>
      </c>
      <c r="S8" s="15">
        <v>0</v>
      </c>
      <c r="T8" s="14">
        <f>Table3[[#This Row],[Bon_Bon_QTY]]/$S$20</f>
        <v>0</v>
      </c>
      <c r="U8" s="15">
        <v>69000</v>
      </c>
    </row>
    <row r="9" spans="4:21" ht="18.75" x14ac:dyDescent="0.25">
      <c r="D9" s="12" t="s">
        <v>2</v>
      </c>
      <c r="E9" s="12" t="s">
        <v>1</v>
      </c>
      <c r="F9" s="12">
        <v>2025</v>
      </c>
      <c r="G9" s="15">
        <v>220.00000000000003</v>
      </c>
      <c r="H9" s="14">
        <f>Table3[[#This Row],[Premium_QTY]]/$G$20</f>
        <v>1.1206219084843102E-3</v>
      </c>
      <c r="I9" s="15">
        <v>5115</v>
      </c>
      <c r="J9" s="14">
        <f>Table3[[#This Row],[Delight_QTY]]/$I$20</f>
        <v>4.4151467067364607E-2</v>
      </c>
      <c r="K9" s="15">
        <v>8880</v>
      </c>
      <c r="L9" s="14">
        <f>Table3[[#This Row],[Classic_QTY]]/$K$20</f>
        <v>0.14093851081322156</v>
      </c>
      <c r="M9" s="15">
        <v>32550</v>
      </c>
      <c r="N9" s="14">
        <f>Table3[[#This Row],[G4_QTY]]/$M$20</f>
        <v>0.45919446991606122</v>
      </c>
      <c r="O9" s="15">
        <v>7270</v>
      </c>
      <c r="P9" s="14">
        <f>Table3[[#This Row],[Golden_Crowen_QTY]]/$O$20</f>
        <v>0.25073288498016899</v>
      </c>
      <c r="Q9" s="15">
        <v>50</v>
      </c>
      <c r="R9" s="14">
        <f>Table3[[#This Row],[Baby_Small_QTY]]/$Q$20</f>
        <v>1.0857763300760043E-2</v>
      </c>
      <c r="S9" s="15">
        <v>5</v>
      </c>
      <c r="T9" s="14">
        <f>Table3[[#This Row],[Bon_Bon_QTY]]/$S$20</f>
        <v>1.3351134846461949E-3</v>
      </c>
      <c r="U9" s="15">
        <v>54090</v>
      </c>
    </row>
    <row r="10" spans="4:21" ht="18.75" x14ac:dyDescent="0.25">
      <c r="D10" s="12" t="s">
        <v>11</v>
      </c>
      <c r="E10" s="12" t="s">
        <v>12</v>
      </c>
      <c r="F10" s="12">
        <v>2025</v>
      </c>
      <c r="G10" s="15">
        <v>7909.9999999999991</v>
      </c>
      <c r="H10" s="14">
        <f>Table3[[#This Row],[Premium_QTY]]/$G$20</f>
        <v>4.0291451345958594E-2</v>
      </c>
      <c r="I10" s="15">
        <v>11144.999999999998</v>
      </c>
      <c r="J10" s="14">
        <f>Table3[[#This Row],[Delight_QTY]]/$I$20</f>
        <v>9.6200997158509965E-2</v>
      </c>
      <c r="K10" s="15">
        <v>6260</v>
      </c>
      <c r="L10" s="14">
        <f>Table3[[#This Row],[Classic_QTY]]/$K$20</f>
        <v>9.9355301541753038E-2</v>
      </c>
      <c r="M10" s="15">
        <v>4980</v>
      </c>
      <c r="N10" s="14">
        <f>Table3[[#This Row],[G4_QTY]]/$M$20</f>
        <v>7.0254637793609367E-2</v>
      </c>
      <c r="O10" s="15">
        <v>3920</v>
      </c>
      <c r="P10" s="14">
        <f>Table3[[#This Row],[Golden_Crowen_QTY]]/$O$20</f>
        <v>0.1351957234005863</v>
      </c>
      <c r="Q10" s="15">
        <v>70</v>
      </c>
      <c r="R10" s="14">
        <f>Table3[[#This Row],[Baby_Small_QTY]]/$Q$20</f>
        <v>1.5200868621064061E-2</v>
      </c>
      <c r="S10" s="15">
        <v>65</v>
      </c>
      <c r="T10" s="14">
        <f>Table3[[#This Row],[Bon_Bon_QTY]]/$S$20</f>
        <v>1.7356475300400534E-2</v>
      </c>
      <c r="U10" s="15">
        <v>34350</v>
      </c>
    </row>
    <row r="11" spans="4:21" ht="18.75" x14ac:dyDescent="0.25">
      <c r="D11" s="12" t="s">
        <v>15</v>
      </c>
      <c r="E11" s="12" t="s">
        <v>16</v>
      </c>
      <c r="F11" s="12">
        <v>2025</v>
      </c>
      <c r="G11" s="15">
        <v>8060</v>
      </c>
      <c r="H11" s="14">
        <f>Table3[[#This Row],[Premium_QTY]]/$G$20</f>
        <v>4.1055511738106995E-2</v>
      </c>
      <c r="I11" s="15">
        <v>6625</v>
      </c>
      <c r="J11" s="14">
        <f>Table3[[#This Row],[Delight_QTY]]/$I$20</f>
        <v>5.7185428997319751E-2</v>
      </c>
      <c r="K11" s="15">
        <v>1290</v>
      </c>
      <c r="L11" s="14">
        <f>Table3[[#This Row],[Classic_QTY]]/$K$20</f>
        <v>2.0474175557326106E-2</v>
      </c>
      <c r="M11" s="15">
        <v>1615</v>
      </c>
      <c r="N11" s="14">
        <f>Table3[[#This Row],[G4_QTY]]/$M$20</f>
        <v>2.2783381533469704E-2</v>
      </c>
      <c r="O11" s="15">
        <v>3275</v>
      </c>
      <c r="P11" s="14">
        <f>Table3[[#This Row],[Golden_Crowen_QTY]]/$O$20</f>
        <v>0.112950508708398</v>
      </c>
      <c r="Q11" s="15">
        <v>650</v>
      </c>
      <c r="R11" s="14">
        <f>Table3[[#This Row],[Baby_Small_QTY]]/$Q$20</f>
        <v>0.14115092290988057</v>
      </c>
      <c r="S11" s="15">
        <v>575</v>
      </c>
      <c r="T11" s="14">
        <f>Table3[[#This Row],[Bon_Bon_QTY]]/$S$20</f>
        <v>0.15353805073431243</v>
      </c>
      <c r="U11" s="15">
        <v>22090</v>
      </c>
    </row>
    <row r="12" spans="4:21" ht="18.75" x14ac:dyDescent="0.25">
      <c r="D12" s="12" t="s">
        <v>17</v>
      </c>
      <c r="E12" s="12" t="s">
        <v>18</v>
      </c>
      <c r="F12" s="12">
        <v>2025</v>
      </c>
      <c r="G12" s="15">
        <v>3124.9999999999995</v>
      </c>
      <c r="H12" s="14">
        <f>Table3[[#This Row],[Premium_QTY]]/$G$20</f>
        <v>1.5917924836424856E-2</v>
      </c>
      <c r="I12" s="15">
        <v>8000</v>
      </c>
      <c r="J12" s="14">
        <f>Table3[[#This Row],[Delight_QTY]]/$I$20</f>
        <v>6.9054102940159692E-2</v>
      </c>
      <c r="K12" s="15">
        <v>0</v>
      </c>
      <c r="L12" s="14">
        <f>Table3[[#This Row],[Classic_QTY]]/$K$20</f>
        <v>0</v>
      </c>
      <c r="M12" s="15">
        <v>4000</v>
      </c>
      <c r="N12" s="14">
        <f>Table3[[#This Row],[G4_QTY]]/$M$20</f>
        <v>5.6429427946674188E-2</v>
      </c>
      <c r="O12" s="15">
        <v>0</v>
      </c>
      <c r="P12" s="14">
        <f>Table3[[#This Row],[Golden_Crowen_QTY]]/$O$20</f>
        <v>0</v>
      </c>
      <c r="Q12" s="15">
        <v>0</v>
      </c>
      <c r="R12" s="14">
        <f>Table3[[#This Row],[Baby_Small_QTY]]/$Q$20</f>
        <v>0</v>
      </c>
      <c r="S12" s="15">
        <v>0</v>
      </c>
      <c r="T12" s="14">
        <f>Table3[[#This Row],[Bon_Bon_QTY]]/$S$20</f>
        <v>0</v>
      </c>
      <c r="U12" s="15">
        <v>15125</v>
      </c>
    </row>
    <row r="13" spans="4:21" ht="18.75" x14ac:dyDescent="0.25">
      <c r="D13" s="12" t="s">
        <v>19</v>
      </c>
      <c r="E13" s="12" t="s">
        <v>20</v>
      </c>
      <c r="F13" s="12">
        <v>2025</v>
      </c>
      <c r="G13" s="15">
        <v>10080</v>
      </c>
      <c r="H13" s="14">
        <f>Table3[[#This Row],[Premium_QTY]]/$G$20</f>
        <v>5.1344858352372021E-2</v>
      </c>
      <c r="I13" s="15">
        <v>0</v>
      </c>
      <c r="J13" s="14">
        <f>Table3[[#This Row],[Delight_QTY]]/$I$20</f>
        <v>0</v>
      </c>
      <c r="K13" s="15">
        <v>0</v>
      </c>
      <c r="L13" s="14">
        <f>Table3[[#This Row],[Classic_QTY]]/$K$20</f>
        <v>0</v>
      </c>
      <c r="M13" s="15">
        <v>0</v>
      </c>
      <c r="N13" s="14">
        <f>Table3[[#This Row],[G4_QTY]]/$M$20</f>
        <v>0</v>
      </c>
      <c r="O13" s="15">
        <v>0</v>
      </c>
      <c r="P13" s="14">
        <f>Table3[[#This Row],[Golden_Crowen_QTY]]/$O$20</f>
        <v>0</v>
      </c>
      <c r="Q13" s="15">
        <v>0</v>
      </c>
      <c r="R13" s="14">
        <f>Table3[[#This Row],[Baby_Small_QTY]]/$Q$20</f>
        <v>0</v>
      </c>
      <c r="S13" s="15">
        <v>0</v>
      </c>
      <c r="T13" s="14">
        <f>Table3[[#This Row],[Bon_Bon_QTY]]/$S$20</f>
        <v>0</v>
      </c>
      <c r="U13" s="15">
        <v>10080</v>
      </c>
    </row>
    <row r="14" spans="4:21" ht="18.75" x14ac:dyDescent="0.25">
      <c r="D14" s="12" t="s">
        <v>7</v>
      </c>
      <c r="E14" s="12" t="s">
        <v>8</v>
      </c>
      <c r="F14" s="12">
        <v>2025</v>
      </c>
      <c r="G14" s="15">
        <v>2950</v>
      </c>
      <c r="H14" s="14">
        <f>Table3[[#This Row],[Premium_QTY]]/$G$20</f>
        <v>1.5026521045585066E-2</v>
      </c>
      <c r="I14" s="15">
        <v>2580</v>
      </c>
      <c r="J14" s="14">
        <f>Table3[[#This Row],[Delight_QTY]]/$I$20</f>
        <v>2.2269948198201502E-2</v>
      </c>
      <c r="K14" s="15">
        <v>340</v>
      </c>
      <c r="L14" s="14">
        <f>Table3[[#This Row],[Classic_QTY]]/$K$20</f>
        <v>5.396294332938663E-3</v>
      </c>
      <c r="M14" s="15">
        <v>1610</v>
      </c>
      <c r="N14" s="14">
        <f>Table3[[#This Row],[G4_QTY]]/$M$20</f>
        <v>2.2712844748536361E-2</v>
      </c>
      <c r="O14" s="15">
        <v>595</v>
      </c>
      <c r="P14" s="14">
        <f>Table3[[#This Row],[Golden_Crowen_QTY]]/$O$20</f>
        <v>2.0520779444731851E-2</v>
      </c>
      <c r="Q14" s="15">
        <v>125</v>
      </c>
      <c r="R14" s="14">
        <f>Table3[[#This Row],[Baby_Small_QTY]]/$Q$20</f>
        <v>2.714440825190011E-2</v>
      </c>
      <c r="S14" s="15">
        <v>160</v>
      </c>
      <c r="T14" s="14">
        <f>Table3[[#This Row],[Bon_Bon_QTY]]/$S$20</f>
        <v>4.2723631508678236E-2</v>
      </c>
      <c r="U14" s="15">
        <v>8360</v>
      </c>
    </row>
    <row r="15" spans="4:21" ht="18.75" x14ac:dyDescent="0.25">
      <c r="D15" s="12" t="s">
        <v>13</v>
      </c>
      <c r="E15" s="12" t="s">
        <v>14</v>
      </c>
      <c r="F15" s="12">
        <v>2025</v>
      </c>
      <c r="G15" s="15">
        <v>2130</v>
      </c>
      <c r="H15" s="14">
        <f>Table3[[#This Row],[Premium_QTY]]/$G$20</f>
        <v>1.0849657568507183E-2</v>
      </c>
      <c r="I15" s="15">
        <v>1150</v>
      </c>
      <c r="J15" s="14">
        <f>Table3[[#This Row],[Delight_QTY]]/$I$20</f>
        <v>9.9265272976479559E-3</v>
      </c>
      <c r="K15" s="15">
        <v>195</v>
      </c>
      <c r="L15" s="14">
        <f>Table3[[#This Row],[Classic_QTY]]/$K$20</f>
        <v>3.0949335144795274E-3</v>
      </c>
      <c r="M15" s="15">
        <v>155</v>
      </c>
      <c r="N15" s="14">
        <f>Table3[[#This Row],[G4_QTY]]/$M$20</f>
        <v>2.1866403329336248E-3</v>
      </c>
      <c r="O15" s="15">
        <v>755</v>
      </c>
      <c r="P15" s="14">
        <f>Table3[[#This Row],[Golden_Crowen_QTY]]/$O$20</f>
        <v>2.6038972236592517E-2</v>
      </c>
      <c r="Q15" s="15">
        <v>65</v>
      </c>
      <c r="R15" s="14">
        <f>Table3[[#This Row],[Baby_Small_QTY]]/$Q$20</f>
        <v>1.4115092290988056E-2</v>
      </c>
      <c r="S15" s="15">
        <v>55</v>
      </c>
      <c r="T15" s="14">
        <f>Table3[[#This Row],[Bon_Bon_QTY]]/$S$20</f>
        <v>1.4686248331108143E-2</v>
      </c>
      <c r="U15" s="15">
        <v>4505</v>
      </c>
    </row>
    <row r="16" spans="4:21" ht="18.75" x14ac:dyDescent="0.25">
      <c r="D16" s="12" t="s">
        <v>9</v>
      </c>
      <c r="E16" s="12" t="s">
        <v>10</v>
      </c>
      <c r="F16" s="12">
        <v>2025</v>
      </c>
      <c r="G16" s="15">
        <v>965</v>
      </c>
      <c r="H16" s="14">
        <f>Table3[[#This Row],[Premium_QTY]]/$G$20</f>
        <v>4.9154551894879965E-3</v>
      </c>
      <c r="I16" s="15">
        <v>730.00000000000011</v>
      </c>
      <c r="J16" s="14">
        <f>Table3[[#This Row],[Delight_QTY]]/$I$20</f>
        <v>6.3011868932895737E-3</v>
      </c>
      <c r="K16" s="15">
        <v>115</v>
      </c>
      <c r="L16" s="14">
        <f>Table3[[#This Row],[Classic_QTY]]/$K$20</f>
        <v>1.8252172008469008E-3</v>
      </c>
      <c r="M16" s="15">
        <v>225</v>
      </c>
      <c r="N16" s="14">
        <f>Table3[[#This Row],[G4_QTY]]/$M$20</f>
        <v>3.1741553220004234E-3</v>
      </c>
      <c r="O16" s="15">
        <v>85</v>
      </c>
      <c r="P16" s="14">
        <f>Table3[[#This Row],[Golden_Crowen_QTY]]/$O$20</f>
        <v>2.9315399206759785E-3</v>
      </c>
      <c r="Q16" s="15">
        <v>0</v>
      </c>
      <c r="R16" s="14">
        <f>Table3[[#This Row],[Baby_Small_QTY]]/$Q$20</f>
        <v>0</v>
      </c>
      <c r="S16" s="15">
        <v>10</v>
      </c>
      <c r="T16" s="14">
        <f>Table3[[#This Row],[Bon_Bon_QTY]]/$S$20</f>
        <v>2.6702269692923898E-3</v>
      </c>
      <c r="U16" s="15">
        <v>2130</v>
      </c>
    </row>
    <row r="17" spans="4:21" ht="18.75" x14ac:dyDescent="0.25">
      <c r="D17" s="12" t="s">
        <v>5</v>
      </c>
      <c r="E17" s="12" t="s">
        <v>6</v>
      </c>
      <c r="F17" s="12">
        <v>2025</v>
      </c>
      <c r="G17" s="15">
        <v>845</v>
      </c>
      <c r="H17" s="14">
        <f>Table3[[#This Row],[Premium_QTY]]/$G$20</f>
        <v>4.3042068757692814E-3</v>
      </c>
      <c r="I17" s="15">
        <v>530</v>
      </c>
      <c r="J17" s="14">
        <f>Table3[[#This Row],[Delight_QTY]]/$I$20</f>
        <v>4.5748343197855798E-3</v>
      </c>
      <c r="K17" s="15">
        <v>110</v>
      </c>
      <c r="L17" s="14">
        <f>Table3[[#This Row],[Classic_QTY]]/$K$20</f>
        <v>1.7458599312448616E-3</v>
      </c>
      <c r="M17" s="15">
        <v>25</v>
      </c>
      <c r="N17" s="14">
        <f>Table3[[#This Row],[G4_QTY]]/$M$20</f>
        <v>3.5268392466671371E-4</v>
      </c>
      <c r="O17" s="15">
        <v>335</v>
      </c>
      <c r="P17" s="14">
        <f>Table3[[#This Row],[Golden_Crowen_QTY]]/$O$20</f>
        <v>1.1553716157958268E-2</v>
      </c>
      <c r="Q17" s="15">
        <v>35</v>
      </c>
      <c r="R17" s="14">
        <f>Table3[[#This Row],[Baby_Small_QTY]]/$Q$20</f>
        <v>7.6004343105320303E-3</v>
      </c>
      <c r="S17" s="15">
        <v>45</v>
      </c>
      <c r="T17" s="14">
        <f>Table3[[#This Row],[Bon_Bon_QTY]]/$S$20</f>
        <v>1.2016021361815754E-2</v>
      </c>
      <c r="U17" s="15">
        <v>1925</v>
      </c>
    </row>
    <row r="20" spans="4:21" ht="18.75" x14ac:dyDescent="0.25">
      <c r="D20" s="22" t="s">
        <v>48</v>
      </c>
      <c r="E20" s="22"/>
      <c r="F20" s="22"/>
      <c r="G20" s="20">
        <f>SUM(Table3[Premium_QTY])</f>
        <v>196319.56</v>
      </c>
      <c r="H20" s="21">
        <f>SUM(Table3[Premium_%])</f>
        <v>1</v>
      </c>
      <c r="I20" s="20">
        <f>SUM(Table3[Delight_QTY])</f>
        <v>115851.19</v>
      </c>
      <c r="J20" s="21">
        <f>SUM(Table3[Delight_%])</f>
        <v>0.99999999999999989</v>
      </c>
      <c r="K20" s="20">
        <f>SUM(Table3[Classic_QTY])</f>
        <v>63006.2</v>
      </c>
      <c r="L20" s="21">
        <f>SUM(Table3[Classic_%])</f>
        <v>1</v>
      </c>
      <c r="M20" s="20">
        <f>SUM(Table3[G4_QTY])</f>
        <v>70885</v>
      </c>
      <c r="N20" s="21">
        <f>SUM(Table3[G4_%])</f>
        <v>0.99999999999999989</v>
      </c>
      <c r="O20" s="20">
        <f>SUM(Table3[Golden_Crowen_QTY])</f>
        <v>28995</v>
      </c>
      <c r="P20" s="21">
        <f>SUM(Table3[Golden_Crowen_%])</f>
        <v>0.99999999999999989</v>
      </c>
      <c r="Q20" s="20">
        <f>SUM(Table3[Baby_Small_QTY])</f>
        <v>4605</v>
      </c>
      <c r="R20" s="21">
        <f>SUM(Table3[Baby_Small_%])</f>
        <v>1</v>
      </c>
      <c r="S20" s="20">
        <f>SUM(Table3[Bon_Bon_QTY])</f>
        <v>3745</v>
      </c>
      <c r="T20" s="21">
        <f>SUM(Table3[Bon_Bon_%])</f>
        <v>1</v>
      </c>
      <c r="U20" s="20">
        <f>SUM(Table3[Total_QTY(kg)])</f>
        <v>485276.95</v>
      </c>
    </row>
  </sheetData>
  <sheetProtection algorithmName="SHA-512" hashValue="n1al9M+Rpg5ja98IoE36ArC8AO/GECd2Qe0XWv/haBeFCU18UfRdR3E0ex02Ga/jboVGXQ9IiE34aWhwx1p9Zw==" saltValue="Q02jMt29v82v5LapU72nvg==" spinCount="100000" sheet="1" formatCells="0" formatColumns="0" formatRows="0" insertColumns="0" insertRows="0" insertHyperlinks="0" deleteColumns="0" deleteRows="0" sort="0" autoFilter="0" pivotTables="0"/>
  <mergeCells count="2">
    <mergeCell ref="D20:F20"/>
    <mergeCell ref="D2:U3"/>
  </mergeCells>
  <conditionalFormatting sqref="H6:H17 J6:J17 L6:L17 N6:N17 P6:P17 R6:R17 T6:T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{5A6FFDF7-1BD8-4627-B8FC-10C0A67C4BAE}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6FFDF7-1BD8-4627-B8FC-10C0A67C4B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H6:H17 J6:J17 L6:L17 N6:N17 P6:P17 R6:R17 T6:T17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76F8C-2FBF-4358-A67E-0DA534E15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تقيم اداء الموردين</vt:lpstr>
      <vt:lpstr>نسب وكميات المواصفات</vt:lpstr>
      <vt:lpstr>نسب و كميات كل مواصفة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Alaa</dc:creator>
  <cp:lastModifiedBy>Ahmed Alaa</cp:lastModifiedBy>
  <dcterms:created xsi:type="dcterms:W3CDTF">2026-06-15T14:06:25Z</dcterms:created>
  <dcterms:modified xsi:type="dcterms:W3CDTF">2026-07-08T17:21:42Z</dcterms:modified>
</cp:coreProperties>
</file>